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_des_taches" sheetId="1" state="visible" r:id="rId3"/>
    <sheet name="Avancement_projet" sheetId="2" state="visible" r:id="rId4"/>
    <sheet name="Repartition_memb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<sst xmlns="http://schemas.openxmlformats.org/spreadsheetml/2006/main" count="339" uniqueCount="157">
  <si>
    <t xml:space="preserve">📋  BNGRC — Suivi des tâches du projet final S3</t>
  </si>
  <si>
    <t xml:space="preserve">#</t>
  </si>
  <si>
    <t xml:space="preserve">Version</t>
  </si>
  <si>
    <t xml:space="preserve">Catégorie</t>
  </si>
  <si>
    <t xml:space="preserve">Module</t>
  </si>
  <si>
    <t xml:space="preserve">Tâche</t>
  </si>
  <si>
    <t xml:space="preserve">Description</t>
  </si>
  <si>
    <t xml:space="preserve">Type</t>
  </si>
  <si>
    <t xml:space="preserve">Estim. (min)</t>
  </si>
  <si>
    <t xml:space="preserve">Tps passé</t>
  </si>
  <si>
    <t xml:space="preserve">Reste</t>
  </si>
  <si>
    <t xml:space="preserve">Avancement</t>
  </si>
  <si>
    <t xml:space="preserve">Responsable</t>
  </si>
  <si>
    <t xml:space="preserve">Statut</t>
  </si>
  <si>
    <t xml:space="preserve">Priorité</t>
  </si>
  <si>
    <t xml:space="preserve">Notes</t>
  </si>
  <si>
    <t xml:space="preserve">  🔵  VERSION 1  ——  ✅ Terminée  |  Git (Kenny) · BD+Backend+Dashboard (Kenny) · F1 (Ny aina) · Frontend/CSS (Maeva)</t>
  </si>
  <si>
    <t xml:space="preserve">V1</t>
  </si>
  <si>
    <t xml:space="preserve">Git</t>
  </si>
  <si>
    <t xml:space="preserve">Setup</t>
  </si>
  <si>
    <t xml:space="preserve">Repository</t>
  </si>
  <si>
    <t xml:space="preserve">Repository + .gitignore</t>
  </si>
  <si>
    <t xml:space="preserve">Configuration</t>
  </si>
  <si>
    <t xml:space="preserve">Kenny</t>
  </si>
  <si>
    <t xml:space="preserve">✅ Terminé</t>
  </si>
  <si>
    <t xml:space="preserve">Haute</t>
  </si>
  <si>
    <t xml:space="preserve">Branch main + dev créées</t>
  </si>
  <si>
    <t xml:space="preserve">Database</t>
  </si>
  <si>
    <t xml:space="preserve">PostgreSQL</t>
  </si>
  <si>
    <t xml:space="preserve">Schema + Tables</t>
  </si>
  <si>
    <t xml:space="preserve">Schéma + tables (villes, besoins, dons, prix)</t>
  </si>
  <si>
    <t xml:space="preserve">SQL</t>
  </si>
  <si>
    <t xml:space="preserve">Contraintes FK respectées</t>
  </si>
  <si>
    <t xml:space="preserve">Données test</t>
  </si>
  <si>
    <t xml:space="preserve">Insertion données de test</t>
  </si>
  <si>
    <t xml:space="preserve">Ny aina</t>
  </si>
  <si>
    <t xml:space="preserve">Moyenne</t>
  </si>
  <si>
    <t xml:space="preserve">Jeux de données variés</t>
  </si>
  <si>
    <t xml:space="preserve">Backend</t>
  </si>
  <si>
    <t xml:space="preserve">FlightPHP</t>
  </si>
  <si>
    <t xml:space="preserve">Setup MVC</t>
  </si>
  <si>
    <t xml:space="preserve">Install + structure MVC + config DB + routes</t>
  </si>
  <si>
    <t xml:space="preserve">Structure Flight conforme</t>
  </si>
  <si>
    <t xml:space="preserve">Models</t>
  </si>
  <si>
    <t xml:space="preserve">Models CRUD</t>
  </si>
  <si>
    <t xml:space="preserve">Ville + Besoin + Don (CRUD)</t>
  </si>
  <si>
    <t xml:space="preserve">Code</t>
  </si>
  <si>
    <t xml:space="preserve">Frontend</t>
  </si>
  <si>
    <t xml:space="preserve">Layout</t>
  </si>
  <si>
    <t xml:space="preserve">Template</t>
  </si>
  <si>
    <t xml:space="preserve">Bootstrap + Header / Navbar / Footer</t>
  </si>
  <si>
    <t xml:space="preserve">HTML/CSS</t>
  </si>
  <si>
    <t xml:space="preserve">Maeva</t>
  </si>
  <si>
    <t xml:space="preserve">Charte graphique validée</t>
  </si>
  <si>
    <t xml:space="preserve">Pages</t>
  </si>
  <si>
    <t xml:space="preserve">Dashboard</t>
  </si>
  <si>
    <t xml:space="preserve">Page dashboard basique</t>
  </si>
  <si>
    <t xml:space="preserve">HTML/Bootstrap</t>
  </si>
  <si>
    <t xml:space="preserve">Configuration Kenny</t>
  </si>
  <si>
    <t xml:space="preserve">Fonctionnalités</t>
  </si>
  <si>
    <t xml:space="preserve">CRUD</t>
  </si>
  <si>
    <t xml:space="preserve">Saisie besoins</t>
  </si>
  <si>
    <t xml:space="preserve">Formulaire + liste besoins (F1)</t>
  </si>
  <si>
    <t xml:space="preserve">1ère fonctionnalité — Ny aina</t>
  </si>
  <si>
    <t xml:space="preserve">Saisie dons</t>
  </si>
  <si>
    <t xml:space="preserve">Formulaire + liste dons (F2)</t>
  </si>
  <si>
    <t xml:space="preserve">Frontend + CSS — Maeva</t>
  </si>
  <si>
    <t xml:space="preserve">  🟢  VERSION 2  ——  ✅ Terminée  |  Achats CRUD (Maeva) · Backend (Kenny &amp; Ny aina)</t>
  </si>
  <si>
    <t xml:space="preserve">V2</t>
  </si>
  <si>
    <t xml:space="preserve">Tables V2</t>
  </si>
  <si>
    <t xml:space="preserve">Tables dispatch_dons + achats</t>
  </si>
  <si>
    <t xml:space="preserve">Backend Kenny</t>
  </si>
  <si>
    <t xml:space="preserve">Functions/Views</t>
  </si>
  <si>
    <t xml:space="preserve">Fonction calcul + vue besoins_restants</t>
  </si>
  <si>
    <t xml:space="preserve">Core</t>
  </si>
  <si>
    <t xml:space="preserve">Algo dispatch</t>
  </si>
  <si>
    <t xml:space="preserve">Algorithme dispatch par date/saisie</t>
  </si>
  <si>
    <t xml:space="preserve">Backend Ny aina</t>
  </si>
  <si>
    <t xml:space="preserve">Controllers</t>
  </si>
  <si>
    <t xml:space="preserve">DispatchController</t>
  </si>
  <si>
    <t xml:space="preserve">Simulation + validation dispatch</t>
  </si>
  <si>
    <t xml:space="preserve">Achats</t>
  </si>
  <si>
    <t xml:space="preserve">Système achats CRUD</t>
  </si>
  <si>
    <t xml:space="preserve">Modèle Achat + contrôleur + routes + vues</t>
  </si>
  <si>
    <t xml:space="preserve">CRUD complet — Maeva (fonctions, ctrl, view)</t>
  </si>
  <si>
    <t xml:space="preserve">Conversion argent</t>
  </si>
  <si>
    <t xml:space="preserve">Conversion argent + frais %</t>
  </si>
  <si>
    <t xml:space="preserve">Validation achats</t>
  </si>
  <si>
    <t xml:space="preserve">Vérification + messages erreur</t>
  </si>
  <si>
    <t xml:space="preserve">Page achats</t>
  </si>
  <si>
    <t xml:space="preserve">Liste achats + filtres ville</t>
  </si>
  <si>
    <t xml:space="preserve">Page simulation</t>
  </si>
  <si>
    <t xml:space="preserve">Interface simulation (2 boutons)</t>
  </si>
  <si>
    <t xml:space="preserve">Récapitulation</t>
  </si>
  <si>
    <t xml:space="preserve">Page récap + bouton AJAX actualiser</t>
  </si>
  <si>
    <t xml:space="preserve">Tests</t>
  </si>
  <si>
    <t xml:space="preserve">Tests complets</t>
  </si>
  <si>
    <t xml:space="preserve">Tests dispatch + achats + E2E</t>
  </si>
  <si>
    <t xml:space="preserve">Test</t>
  </si>
  <si>
    <t xml:space="preserve">  🟡  VERSION 3  ——  ✅ Terminée  |  Backend (Kenny &amp; Ny aina) + Affichage (Maeva)</t>
  </si>
  <si>
    <t xml:space="preserve">V3</t>
  </si>
  <si>
    <t xml:space="preserve">API</t>
  </si>
  <si>
    <t xml:space="preserve">API REST dons</t>
  </si>
  <si>
    <t xml:space="preserve">Endpoints REST : dons + validation</t>
  </si>
  <si>
    <t xml:space="preserve">API REST besoins</t>
  </si>
  <si>
    <t xml:space="preserve">Endpoints REST : besoins par ville</t>
  </si>
  <si>
    <t xml:space="preserve">Dispatch</t>
  </si>
  <si>
    <t xml:space="preserve">Dispatch automatique</t>
  </si>
  <si>
    <t xml:space="preserve">Dispatch automatique lors d'un nouveau don</t>
  </si>
  <si>
    <t xml:space="preserve">Dashboard V3</t>
  </si>
  <si>
    <t xml:space="preserve">Affichage dynamique — tout fonctionne bien</t>
  </si>
  <si>
    <t xml:space="preserve">Configuration affichage — Maeva</t>
  </si>
  <si>
    <t xml:space="preserve">Tests intégration</t>
  </si>
  <si>
    <t xml:space="preserve">Tests API + dispatch auto + rapport</t>
  </si>
  <si>
    <t xml:space="preserve">  🔵  VERSION 4  ——  📌 À planifier  (espace réservé)</t>
  </si>
  <si>
    <t xml:space="preserve">V4</t>
  </si>
  <si>
    <t xml:space="preserve">À définir</t>
  </si>
  <si>
    <t xml:space="preserve">—</t>
  </si>
  <si>
    <t xml:space="preserve">Fonctionnalité V4 #1</t>
  </si>
  <si>
    <t xml:space="preserve">À planifier</t>
  </si>
  <si>
    <t xml:space="preserve">📌 À planifier</t>
  </si>
  <si>
    <t xml:space="preserve">Fonctionnalité V4 #2</t>
  </si>
  <si>
    <t xml:space="preserve">Tests V4</t>
  </si>
  <si>
    <t xml:space="preserve">Déploiement</t>
  </si>
  <si>
    <t xml:space="preserve">ITU</t>
  </si>
  <si>
    <t xml:space="preserve">Déploiement serveur ITU</t>
  </si>
  <si>
    <t xml:space="preserve">Mise en production sur serveur ITU</t>
  </si>
  <si>
    <t xml:space="preserve">DevOps</t>
  </si>
  <si>
    <t xml:space="preserve">📊  Avancement global du projet</t>
  </si>
  <si>
    <t xml:space="preserve">Métrique</t>
  </si>
  <si>
    <t xml:space="preserve">V1 ✅</t>
  </si>
  <si>
    <t xml:space="preserve">V2 ✅</t>
  </si>
  <si>
    <t xml:space="preserve">V3 ✅</t>
  </si>
  <si>
    <t xml:space="preserve">V4 📌</t>
  </si>
  <si>
    <t xml:space="preserve">Total</t>
  </si>
  <si>
    <t xml:space="preserve">Heures</t>
  </si>
  <si>
    <t xml:space="preserve">Estimation (min)</t>
  </si>
  <si>
    <t xml:space="preserve">Temps passé (min)</t>
  </si>
  <si>
    <t xml:space="preserve">Reste à faire</t>
  </si>
  <si>
    <t xml:space="preserve">Tâches terminées</t>
  </si>
  <si>
    <t xml:space="preserve">🎨 Légende :   🔵 V1 terminée · 🟢 V2 terminée · 🟡 V3 terminée · 🔵 V4 à planifier</t>
  </si>
  <si>
    <t xml:space="preserve">👥  Répartition des tâches par membre</t>
  </si>
  <si>
    <t xml:space="preserve">Membre</t>
  </si>
  <si>
    <t xml:space="preserve">V1 (min)</t>
  </si>
  <si>
    <t xml:space="preserve">V2 (min)</t>
  </si>
  <si>
    <t xml:space="preserve">V3 (min)</t>
  </si>
  <si>
    <t xml:space="preserve">V4 (min)</t>
  </si>
  <si>
    <t xml:space="preserve">Total (min)</t>
  </si>
  <si>
    <t xml:space="preserve">% Charge</t>
  </si>
  <si>
    <t xml:space="preserve">TOTAL</t>
  </si>
  <si>
    <t xml:space="preserve">100%</t>
  </si>
  <si>
    <t xml:space="preserve">🔵  Kenny</t>
  </si>
  <si>
    <t xml:space="preserve">🟠  Maeva</t>
  </si>
  <si>
    <t xml:space="preserve">🟢  Ny aina</t>
  </si>
  <si>
    <t xml:space="preserve">V1 : Git + Structure Flight + BDD + Models + Dashboard config
V2 : Tables BDD + Functions/Views + DispatchController + Dashboard V2
V3 : API REST dons &amp; besoins</t>
  </si>
  <si>
    <t xml:space="preserve">V1 : Frontend layout, CSS, page dashboard, saisie dons
V2 : CRUD Achats complet (fonctions, contrôleur, vues), pages achats/simulation/récap
V3 : Configuration affichage dashboard — tout fonctionne</t>
  </si>
  <si>
    <t xml:space="preserve">V1 : Données test BDD, 1ère fonctionnalité (saisie besoins), tests V1
V2 : Algo dispatch + DispatchController backend, tests V2
V3 : Dispatch automatique + Export rapport + Tests intégration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</si>
</sst>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#,##0"/>
    <numFmt numFmtId="168" formatCode="0.0\h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222222"/>
      <name val="Calibri"/>
      <family val="0"/>
      <charset val="1"/>
    </font>
    <font>
      <sz val="9"/>
      <color rgb="FF2D6A4F"/>
      <name val="Calibri"/>
      <family val="0"/>
      <charset val="1"/>
    </font>
    <font>
      <b val="true"/>
      <sz val="9"/>
      <color rgb="FF222222"/>
      <name val="Calibri"/>
      <family val="0"/>
      <charset val="1"/>
    </font>
    <font>
      <sz val="9"/>
      <color rgb="FF276221"/>
      <name val="Calibri"/>
      <family val="0"/>
      <charset val="1"/>
    </font>
    <font>
      <sz val="9"/>
      <color rgb="FFB03030"/>
      <name val="Calibri"/>
      <family val="0"/>
      <charset val="1"/>
    </font>
    <font>
      <sz val="9"/>
      <color rgb="FF7D5A00"/>
      <name val="Calibri"/>
      <family val="0"/>
      <charset val="1"/>
    </font>
    <font>
      <b val="true"/>
      <sz val="9"/>
      <color rgb="FF2D6A4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sz val="8"/>
      <color rgb="FF555555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E1E1E"/>
        <bgColor rgb="FF222222"/>
      </patternFill>
    </fill>
    <fill>
      <patternFill patternType="solid">
        <fgColor rgb="FF3D3D3D"/>
        <bgColor rgb="FF555555"/>
      </patternFill>
    </fill>
    <fill>
      <patternFill patternType="solid">
        <fgColor rgb="FF2D5F8A"/>
        <bgColor rgb="FF2D6A4F"/>
      </patternFill>
    </fill>
    <fill>
      <patternFill patternType="solid">
        <fgColor rgb="FFEEF4FB"/>
        <bgColor rgb="FFF2F2F2"/>
      </patternFill>
    </fill>
    <fill>
      <patternFill patternType="solid">
        <fgColor rgb="FFE8E0F0"/>
        <bgColor rgb="FFE8E8E8"/>
      </patternFill>
    </fill>
    <fill>
      <patternFill patternType="solid">
        <fgColor rgb="FFD4EDDA"/>
        <bgColor rgb="FFE0EEF8"/>
      </patternFill>
    </fill>
    <fill>
      <patternFill patternType="solid">
        <fgColor rgb="FFE0EEF8"/>
        <bgColor rgb="FFEAEAEA"/>
      </patternFill>
    </fill>
    <fill>
      <patternFill patternType="solid">
        <fgColor rgb="FFFEF3E2"/>
        <bgColor rgb="FFFDFAEE"/>
      </patternFill>
    </fill>
    <fill>
      <patternFill patternType="solid">
        <fgColor rgb="FF2E7D52"/>
        <bgColor rgb="FF2D6A4F"/>
      </patternFill>
    </fill>
    <fill>
      <patternFill patternType="solid">
        <fgColor rgb="FFEEF7F0"/>
        <bgColor rgb="FFEEF4FB"/>
      </patternFill>
    </fill>
    <fill>
      <patternFill patternType="solid">
        <fgColor rgb="FF7A6000"/>
        <bgColor rgb="FF7D5A00"/>
      </patternFill>
    </fill>
    <fill>
      <patternFill patternType="solid">
        <fgColor rgb="FFFDFAEE"/>
        <bgColor rgb="FFF9F9F9"/>
      </patternFill>
    </fill>
    <fill>
      <patternFill patternType="solid">
        <fgColor rgb="FF555555"/>
        <bgColor rgb="FF3D3D3D"/>
      </patternFill>
    </fill>
    <fill>
      <patternFill patternType="solid">
        <fgColor rgb="FFF5F5F5"/>
        <bgColor rgb="FFF2F2F2"/>
      </patternFill>
    </fill>
    <fill>
      <patternFill patternType="solid">
        <fgColor rgb="FFFFF3CD"/>
        <bgColor rgb="FFFEF3E2"/>
      </patternFill>
    </fill>
    <fill>
      <patternFill patternType="solid">
        <fgColor rgb="FFE8E8E8"/>
        <bgColor rgb="FFEAEAEA"/>
      </patternFill>
    </fill>
    <fill>
      <patternFill patternType="solid">
        <fgColor rgb="FFF2F2F2"/>
        <bgColor rgb="FFF5F5F5"/>
      </patternFill>
    </fill>
    <fill>
      <patternFill patternType="solid">
        <fgColor rgb="FFE0E0E0"/>
        <bgColor rgb="FFE8E0F0"/>
      </patternFill>
    </fill>
    <fill>
      <patternFill patternType="solid">
        <fgColor rgb="FFEAEAEA"/>
        <bgColor rgb="FFE8E8E8"/>
      </patternFill>
    </fill>
    <fill>
      <patternFill patternType="solid">
        <fgColor rgb="FFF9F9F9"/>
        <bgColor rgb="FFF5F5F5"/>
      </patternFill>
    </fill>
    <fill>
      <patternFill patternType="solid">
        <fgColor rgb="FFFFFFFF"/>
        <bgColor rgb="FFF9F9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AEE"/>
      <rgbColor rgb="FFFF00FF"/>
      <rgbColor rgb="FF00FFFF"/>
      <rgbColor rgb="FF800000"/>
      <rgbColor rgb="FF276221"/>
      <rgbColor rgb="FF000080"/>
      <rgbColor rgb="FF7A6000"/>
      <rgbColor rgb="FF800080"/>
      <rgbColor rgb="FF2D6A4F"/>
      <rgbColor rgb="FFCCCCCC"/>
      <rgbColor rgb="FF808080"/>
      <rgbColor rgb="FFEEF4FB"/>
      <rgbColor rgb="FF7D5A00"/>
      <rgbColor rgb="FFFFF3CD"/>
      <rgbColor rgb="FFE0EEF8"/>
      <rgbColor rgb="FF660066"/>
      <rgbColor rgb="FFFF8080"/>
      <rgbColor rgb="FF2D5F8A"/>
      <rgbColor rgb="FFE0E0E0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EF7F0"/>
      <rgbColor rgb="FFD4EDDA"/>
      <rgbColor rgb="FFFEF3E2"/>
      <rgbColor rgb="FFE8E8E8"/>
      <rgbColor rgb="FFEAEAEA"/>
      <rgbColor rgb="FFF2F2F2"/>
      <rgbColor rgb="FFE8E0F0"/>
      <rgbColor rgb="FF3366FF"/>
      <rgbColor rgb="FF33CCCC"/>
      <rgbColor rgb="FF99CC00"/>
      <rgbColor rgb="FFF9F9F9"/>
      <rgbColor rgb="FFFF9900"/>
      <rgbColor rgb="FFFF6600"/>
      <rgbColor rgb="FF555555"/>
      <rgbColor rgb="FF969696"/>
      <rgbColor rgb="FF003366"/>
      <rgbColor rgb="FF2E7D52"/>
      <rgbColor rgb="FF1E1E1E"/>
      <rgbColor rgb="FF222222"/>
      <rgbColor rgb="FFB0303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4" min="3" style="1" width="14"/>
    <col collapsed="false" customWidth="true" hidden="false" outlineLevel="0" max="5" min="5" style="1" width="22"/>
    <col collapsed="false" customWidth="true" hidden="false" outlineLevel="0" max="6" min="6" style="1" width="38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3"/>
    <col collapsed="false" customWidth="true" hidden="false" outlineLevel="0" max="14" min="14" style="1" width="10"/>
    <col collapsed="false" customWidth="true" hidden="false" outlineLevel="0" max="15" min="15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18" hidden="false" customHeight="true" outlineLevel="0" collapsed="false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18" hidden="false" customHeight="true" outlineLevel="0" collapsed="false">
      <c r="A4" s="5" t="n">
        <v>1</v>
      </c>
      <c r="B4" s="5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5" t="n">
        <v>20</v>
      </c>
      <c r="I4" s="5" t="n">
        <v>20</v>
      </c>
      <c r="J4" s="7" t="n">
        <f aca="false">H4-I4</f>
        <v>0</v>
      </c>
      <c r="K4" s="8" t="n">
        <f aca="false">IF(H4=0,0,MIN(I4/H4,1))</f>
        <v>1</v>
      </c>
      <c r="L4" s="9" t="s">
        <v>23</v>
      </c>
      <c r="M4" s="10" t="s">
        <v>24</v>
      </c>
      <c r="N4" s="11" t="s">
        <v>25</v>
      </c>
      <c r="O4" s="6" t="s">
        <v>26</v>
      </c>
    </row>
    <row r="5" customFormat="false" ht="18" hidden="false" customHeight="true" outlineLevel="0" collapsed="false">
      <c r="A5" s="5" t="n">
        <v>2</v>
      </c>
      <c r="B5" s="5" t="s">
        <v>17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5" t="n">
        <v>45</v>
      </c>
      <c r="I5" s="5" t="n">
        <v>45</v>
      </c>
      <c r="J5" s="7" t="n">
        <f aca="false">H5-I5</f>
        <v>0</v>
      </c>
      <c r="K5" s="8" t="n">
        <f aca="false">IF(H5=0,0,MIN(I5/H5,1))</f>
        <v>1</v>
      </c>
      <c r="L5" s="9" t="s">
        <v>23</v>
      </c>
      <c r="M5" s="10" t="s">
        <v>24</v>
      </c>
      <c r="N5" s="11" t="s">
        <v>25</v>
      </c>
      <c r="O5" s="6" t="s">
        <v>32</v>
      </c>
    </row>
    <row r="6" customFormat="false" ht="18" hidden="false" customHeight="true" outlineLevel="0" collapsed="false">
      <c r="A6" s="5" t="n">
        <v>3</v>
      </c>
      <c r="B6" s="5" t="s">
        <v>17</v>
      </c>
      <c r="C6" s="6" t="s">
        <v>27</v>
      </c>
      <c r="D6" s="6" t="s">
        <v>28</v>
      </c>
      <c r="E6" s="6" t="s">
        <v>33</v>
      </c>
      <c r="F6" s="6" t="s">
        <v>34</v>
      </c>
      <c r="G6" s="6" t="s">
        <v>31</v>
      </c>
      <c r="H6" s="5" t="n">
        <v>15</v>
      </c>
      <c r="I6" s="5" t="n">
        <v>15</v>
      </c>
      <c r="J6" s="7" t="n">
        <f aca="false">H6-I6</f>
        <v>0</v>
      </c>
      <c r="K6" s="8" t="n">
        <f aca="false">IF(H6=0,0,MIN(I6/H6,1))</f>
        <v>1</v>
      </c>
      <c r="L6" s="12" t="s">
        <v>35</v>
      </c>
      <c r="M6" s="10" t="s">
        <v>24</v>
      </c>
      <c r="N6" s="13" t="s">
        <v>36</v>
      </c>
      <c r="O6" s="6" t="s">
        <v>37</v>
      </c>
    </row>
    <row r="7" customFormat="false" ht="18" hidden="false" customHeight="true" outlineLevel="0" collapsed="false">
      <c r="A7" s="5" t="n">
        <v>4</v>
      </c>
      <c r="B7" s="5" t="s">
        <v>17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19</v>
      </c>
      <c r="H7" s="5" t="n">
        <v>45</v>
      </c>
      <c r="I7" s="5" t="n">
        <v>45</v>
      </c>
      <c r="J7" s="7" t="n">
        <f aca="false">H7-I7</f>
        <v>0</v>
      </c>
      <c r="K7" s="8" t="n">
        <f aca="false">IF(H7=0,0,MIN(I7/H7,1))</f>
        <v>1</v>
      </c>
      <c r="L7" s="9" t="s">
        <v>23</v>
      </c>
      <c r="M7" s="10" t="s">
        <v>24</v>
      </c>
      <c r="N7" s="11" t="s">
        <v>25</v>
      </c>
      <c r="O7" s="6" t="s">
        <v>42</v>
      </c>
    </row>
    <row r="8" customFormat="false" ht="18" hidden="false" customHeight="true" outlineLevel="0" collapsed="false">
      <c r="A8" s="5" t="n">
        <v>5</v>
      </c>
      <c r="B8" s="5" t="s">
        <v>17</v>
      </c>
      <c r="C8" s="6" t="s">
        <v>38</v>
      </c>
      <c r="D8" s="6" t="s">
        <v>43</v>
      </c>
      <c r="E8" s="6" t="s">
        <v>44</v>
      </c>
      <c r="F8" s="6" t="s">
        <v>45</v>
      </c>
      <c r="G8" s="6" t="s">
        <v>46</v>
      </c>
      <c r="H8" s="5" t="n">
        <v>25</v>
      </c>
      <c r="I8" s="5" t="n">
        <v>25</v>
      </c>
      <c r="J8" s="7" t="n">
        <f aca="false">H8-I8</f>
        <v>0</v>
      </c>
      <c r="K8" s="8" t="n">
        <f aca="false">IF(H8=0,0,MIN(I8/H8,1))</f>
        <v>1</v>
      </c>
      <c r="L8" s="9" t="s">
        <v>23</v>
      </c>
      <c r="M8" s="10" t="s">
        <v>24</v>
      </c>
      <c r="N8" s="11" t="s">
        <v>25</v>
      </c>
      <c r="O8" s="6"/>
    </row>
    <row r="9" customFormat="false" ht="18" hidden="false" customHeight="true" outlineLevel="0" collapsed="false">
      <c r="A9" s="5" t="n">
        <v>6</v>
      </c>
      <c r="B9" s="5" t="s">
        <v>17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51</v>
      </c>
      <c r="H9" s="5" t="n">
        <v>25</v>
      </c>
      <c r="I9" s="5" t="n">
        <v>25</v>
      </c>
      <c r="J9" s="7" t="n">
        <f aca="false">H9-I9</f>
        <v>0</v>
      </c>
      <c r="K9" s="8" t="n">
        <f aca="false">IF(H9=0,0,MIN(I9/H9,1))</f>
        <v>1</v>
      </c>
      <c r="L9" s="14" t="s">
        <v>52</v>
      </c>
      <c r="M9" s="10" t="s">
        <v>24</v>
      </c>
      <c r="N9" s="11" t="s">
        <v>25</v>
      </c>
      <c r="O9" s="6" t="s">
        <v>53</v>
      </c>
    </row>
    <row r="10" customFormat="false" ht="18" hidden="false" customHeight="true" outlineLevel="0" collapsed="false">
      <c r="A10" s="5" t="n">
        <v>7</v>
      </c>
      <c r="B10" s="5" t="s">
        <v>17</v>
      </c>
      <c r="C10" s="6" t="s">
        <v>47</v>
      </c>
      <c r="D10" s="6" t="s">
        <v>54</v>
      </c>
      <c r="E10" s="6" t="s">
        <v>55</v>
      </c>
      <c r="F10" s="6" t="s">
        <v>56</v>
      </c>
      <c r="G10" s="6" t="s">
        <v>57</v>
      </c>
      <c r="H10" s="5" t="n">
        <v>15</v>
      </c>
      <c r="I10" s="5" t="n">
        <v>15</v>
      </c>
      <c r="J10" s="7" t="n">
        <f aca="false">H10-I10</f>
        <v>0</v>
      </c>
      <c r="K10" s="8" t="n">
        <f aca="false">IF(H10=0,0,MIN(I10/H10,1))</f>
        <v>1</v>
      </c>
      <c r="L10" s="9" t="s">
        <v>23</v>
      </c>
      <c r="M10" s="10" t="s">
        <v>24</v>
      </c>
      <c r="N10" s="11" t="s">
        <v>25</v>
      </c>
      <c r="O10" s="6" t="s">
        <v>58</v>
      </c>
    </row>
    <row r="11" customFormat="false" ht="18" hidden="false" customHeight="true" outlineLevel="0" collapsed="false">
      <c r="A11" s="5" t="n">
        <v>8</v>
      </c>
      <c r="B11" s="5" t="s">
        <v>17</v>
      </c>
      <c r="C11" s="6" t="s">
        <v>59</v>
      </c>
      <c r="D11" s="6" t="s">
        <v>60</v>
      </c>
      <c r="E11" s="6" t="s">
        <v>61</v>
      </c>
      <c r="F11" s="6" t="s">
        <v>62</v>
      </c>
      <c r="G11" s="6" t="s">
        <v>46</v>
      </c>
      <c r="H11" s="5" t="n">
        <v>20</v>
      </c>
      <c r="I11" s="5" t="n">
        <v>20</v>
      </c>
      <c r="J11" s="7" t="n">
        <f aca="false">H11-I11</f>
        <v>0</v>
      </c>
      <c r="K11" s="8" t="n">
        <f aca="false">IF(H11=0,0,MIN(I11/H11,1))</f>
        <v>1</v>
      </c>
      <c r="L11" s="12" t="s">
        <v>35</v>
      </c>
      <c r="M11" s="10" t="s">
        <v>24</v>
      </c>
      <c r="N11" s="11" t="s">
        <v>25</v>
      </c>
      <c r="O11" s="6" t="s">
        <v>63</v>
      </c>
    </row>
    <row r="12" customFormat="false" ht="18" hidden="false" customHeight="true" outlineLevel="0" collapsed="false">
      <c r="A12" s="5" t="n">
        <v>9</v>
      </c>
      <c r="B12" s="5" t="s">
        <v>17</v>
      </c>
      <c r="C12" s="6" t="s">
        <v>59</v>
      </c>
      <c r="D12" s="6" t="s">
        <v>60</v>
      </c>
      <c r="E12" s="6" t="s">
        <v>64</v>
      </c>
      <c r="F12" s="6" t="s">
        <v>65</v>
      </c>
      <c r="G12" s="6" t="s">
        <v>46</v>
      </c>
      <c r="H12" s="5" t="n">
        <v>20</v>
      </c>
      <c r="I12" s="5" t="n">
        <v>20</v>
      </c>
      <c r="J12" s="7" t="n">
        <f aca="false">H12-I12</f>
        <v>0</v>
      </c>
      <c r="K12" s="8" t="n">
        <f aca="false">IF(H12=0,0,MIN(I12/H12,1))</f>
        <v>1</v>
      </c>
      <c r="L12" s="14" t="s">
        <v>52</v>
      </c>
      <c r="M12" s="10" t="s">
        <v>24</v>
      </c>
      <c r="N12" s="11" t="s">
        <v>25</v>
      </c>
      <c r="O12" s="6" t="s">
        <v>66</v>
      </c>
    </row>
    <row r="13" customFormat="false" ht="18" hidden="false" customHeight="true" outlineLevel="0" collapsed="false">
      <c r="A13" s="5" t="n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8" hidden="false" customHeight="true" outlineLevel="0" collapsed="false">
      <c r="A14" s="15" t="s">
        <v>67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customFormat="false" ht="18" hidden="false" customHeight="true" outlineLevel="0" collapsed="false">
      <c r="A15" s="17" t="n">
        <v>11</v>
      </c>
      <c r="B15" s="17" t="s">
        <v>68</v>
      </c>
      <c r="C15" s="18" t="s">
        <v>27</v>
      </c>
      <c r="D15" s="18" t="s">
        <v>28</v>
      </c>
      <c r="E15" s="18" t="s">
        <v>69</v>
      </c>
      <c r="F15" s="18" t="s">
        <v>70</v>
      </c>
      <c r="G15" s="18" t="s">
        <v>31</v>
      </c>
      <c r="H15" s="17" t="n">
        <v>20</v>
      </c>
      <c r="I15" s="17" t="n">
        <v>20</v>
      </c>
      <c r="J15" s="19" t="n">
        <f aca="false">H15-I15</f>
        <v>0</v>
      </c>
      <c r="K15" s="20" t="n">
        <f aca="false">IF(H15=0,0,MIN(I15/H15,1))</f>
        <v>1</v>
      </c>
      <c r="L15" s="9" t="s">
        <v>23</v>
      </c>
      <c r="M15" s="10" t="s">
        <v>24</v>
      </c>
      <c r="N15" s="21" t="s">
        <v>25</v>
      </c>
      <c r="O15" s="18" t="s">
        <v>71</v>
      </c>
    </row>
    <row r="16" customFormat="false" ht="18" hidden="false" customHeight="true" outlineLevel="0" collapsed="false">
      <c r="A16" s="17" t="n">
        <v>12</v>
      </c>
      <c r="B16" s="17" t="s">
        <v>68</v>
      </c>
      <c r="C16" s="18" t="s">
        <v>27</v>
      </c>
      <c r="D16" s="18" t="s">
        <v>28</v>
      </c>
      <c r="E16" s="18" t="s">
        <v>72</v>
      </c>
      <c r="F16" s="18" t="s">
        <v>73</v>
      </c>
      <c r="G16" s="18" t="s">
        <v>31</v>
      </c>
      <c r="H16" s="17" t="n">
        <v>40</v>
      </c>
      <c r="I16" s="17" t="n">
        <v>40</v>
      </c>
      <c r="J16" s="19" t="n">
        <f aca="false">H16-I16</f>
        <v>0</v>
      </c>
      <c r="K16" s="20" t="n">
        <f aca="false">IF(H16=0,0,MIN(I16/H16,1))</f>
        <v>1</v>
      </c>
      <c r="L16" s="9" t="s">
        <v>23</v>
      </c>
      <c r="M16" s="10" t="s">
        <v>24</v>
      </c>
      <c r="N16" s="22" t="s">
        <v>36</v>
      </c>
      <c r="O16" s="18" t="s">
        <v>71</v>
      </c>
    </row>
    <row r="17" customFormat="false" ht="18" hidden="false" customHeight="true" outlineLevel="0" collapsed="false">
      <c r="A17" s="17" t="n">
        <v>13</v>
      </c>
      <c r="B17" s="17" t="s">
        <v>68</v>
      </c>
      <c r="C17" s="18" t="s">
        <v>59</v>
      </c>
      <c r="D17" s="18" t="s">
        <v>74</v>
      </c>
      <c r="E17" s="18" t="s">
        <v>75</v>
      </c>
      <c r="F17" s="18" t="s">
        <v>76</v>
      </c>
      <c r="G17" s="18" t="s">
        <v>46</v>
      </c>
      <c r="H17" s="17" t="n">
        <v>45</v>
      </c>
      <c r="I17" s="17" t="n">
        <v>45</v>
      </c>
      <c r="J17" s="19" t="n">
        <f aca="false">H17-I17</f>
        <v>0</v>
      </c>
      <c r="K17" s="20" t="n">
        <f aca="false">IF(H17=0,0,MIN(I17/H17,1))</f>
        <v>1</v>
      </c>
      <c r="L17" s="12" t="s">
        <v>35</v>
      </c>
      <c r="M17" s="10" t="s">
        <v>24</v>
      </c>
      <c r="N17" s="21" t="s">
        <v>25</v>
      </c>
      <c r="O17" s="18" t="s">
        <v>77</v>
      </c>
    </row>
    <row r="18" customFormat="false" ht="18" hidden="false" customHeight="true" outlineLevel="0" collapsed="false">
      <c r="A18" s="17" t="n">
        <v>14</v>
      </c>
      <c r="B18" s="17" t="s">
        <v>68</v>
      </c>
      <c r="C18" s="18" t="s">
        <v>38</v>
      </c>
      <c r="D18" s="18" t="s">
        <v>78</v>
      </c>
      <c r="E18" s="18" t="s">
        <v>79</v>
      </c>
      <c r="F18" s="18" t="s">
        <v>80</v>
      </c>
      <c r="G18" s="18" t="s">
        <v>46</v>
      </c>
      <c r="H18" s="17" t="n">
        <v>20</v>
      </c>
      <c r="I18" s="17" t="n">
        <v>20</v>
      </c>
      <c r="J18" s="19" t="n">
        <f aca="false">H18-I18</f>
        <v>0</v>
      </c>
      <c r="K18" s="20" t="n">
        <f aca="false">IF(H18=0,0,MIN(I18/H18,1))</f>
        <v>1</v>
      </c>
      <c r="L18" s="12" t="s">
        <v>35</v>
      </c>
      <c r="M18" s="10" t="s">
        <v>24</v>
      </c>
      <c r="N18" s="21" t="s">
        <v>25</v>
      </c>
      <c r="O18" s="18" t="s">
        <v>77</v>
      </c>
    </row>
    <row r="19" customFormat="false" ht="18" hidden="false" customHeight="true" outlineLevel="0" collapsed="false">
      <c r="A19" s="17" t="n">
        <v>15</v>
      </c>
      <c r="B19" s="17" t="s">
        <v>68</v>
      </c>
      <c r="C19" s="18" t="s">
        <v>59</v>
      </c>
      <c r="D19" s="18" t="s">
        <v>81</v>
      </c>
      <c r="E19" s="18" t="s">
        <v>82</v>
      </c>
      <c r="F19" s="18" t="s">
        <v>83</v>
      </c>
      <c r="G19" s="18" t="s">
        <v>46</v>
      </c>
      <c r="H19" s="17" t="n">
        <v>30</v>
      </c>
      <c r="I19" s="17" t="n">
        <v>30</v>
      </c>
      <c r="J19" s="19" t="n">
        <f aca="false">H19-I19</f>
        <v>0</v>
      </c>
      <c r="K19" s="20" t="n">
        <f aca="false">IF(H19=0,0,MIN(I19/H19,1))</f>
        <v>1</v>
      </c>
      <c r="L19" s="14" t="s">
        <v>52</v>
      </c>
      <c r="M19" s="10" t="s">
        <v>24</v>
      </c>
      <c r="N19" s="21" t="s">
        <v>25</v>
      </c>
      <c r="O19" s="18" t="s">
        <v>84</v>
      </c>
    </row>
    <row r="20" customFormat="false" ht="18" hidden="false" customHeight="true" outlineLevel="0" collapsed="false">
      <c r="A20" s="17" t="n">
        <v>16</v>
      </c>
      <c r="B20" s="17" t="s">
        <v>68</v>
      </c>
      <c r="C20" s="18" t="s">
        <v>59</v>
      </c>
      <c r="D20" s="18" t="s">
        <v>81</v>
      </c>
      <c r="E20" s="18" t="s">
        <v>85</v>
      </c>
      <c r="F20" s="18" t="s">
        <v>86</v>
      </c>
      <c r="G20" s="18" t="s">
        <v>46</v>
      </c>
      <c r="H20" s="17" t="n">
        <v>15</v>
      </c>
      <c r="I20" s="17" t="n">
        <v>15</v>
      </c>
      <c r="J20" s="19" t="n">
        <f aca="false">H20-I20</f>
        <v>0</v>
      </c>
      <c r="K20" s="20" t="n">
        <f aca="false">IF(H20=0,0,MIN(I20/H20,1))</f>
        <v>1</v>
      </c>
      <c r="L20" s="14" t="s">
        <v>52</v>
      </c>
      <c r="M20" s="10" t="s">
        <v>24</v>
      </c>
      <c r="N20" s="22" t="s">
        <v>36</v>
      </c>
      <c r="O20" s="18" t="s">
        <v>52</v>
      </c>
    </row>
    <row r="21" customFormat="false" ht="18" hidden="false" customHeight="true" outlineLevel="0" collapsed="false">
      <c r="A21" s="17" t="n">
        <v>17</v>
      </c>
      <c r="B21" s="17" t="s">
        <v>68</v>
      </c>
      <c r="C21" s="18" t="s">
        <v>59</v>
      </c>
      <c r="D21" s="18" t="s">
        <v>81</v>
      </c>
      <c r="E21" s="18" t="s">
        <v>87</v>
      </c>
      <c r="F21" s="18" t="s">
        <v>88</v>
      </c>
      <c r="G21" s="18" t="s">
        <v>46</v>
      </c>
      <c r="H21" s="17" t="n">
        <v>15</v>
      </c>
      <c r="I21" s="17" t="n">
        <v>15</v>
      </c>
      <c r="J21" s="19" t="n">
        <f aca="false">H21-I21</f>
        <v>0</v>
      </c>
      <c r="K21" s="20" t="n">
        <f aca="false">IF(H21=0,0,MIN(I21/H21,1))</f>
        <v>1</v>
      </c>
      <c r="L21" s="14" t="s">
        <v>52</v>
      </c>
      <c r="M21" s="10" t="s">
        <v>24</v>
      </c>
      <c r="N21" s="21" t="s">
        <v>25</v>
      </c>
      <c r="O21" s="18" t="s">
        <v>52</v>
      </c>
    </row>
    <row r="22" customFormat="false" ht="18" hidden="false" customHeight="true" outlineLevel="0" collapsed="false">
      <c r="A22" s="17" t="n">
        <v>18</v>
      </c>
      <c r="B22" s="17" t="s">
        <v>68</v>
      </c>
      <c r="C22" s="18" t="s">
        <v>47</v>
      </c>
      <c r="D22" s="18" t="s">
        <v>54</v>
      </c>
      <c r="E22" s="18" t="s">
        <v>89</v>
      </c>
      <c r="F22" s="18" t="s">
        <v>90</v>
      </c>
      <c r="G22" s="18" t="s">
        <v>57</v>
      </c>
      <c r="H22" s="17" t="n">
        <v>20</v>
      </c>
      <c r="I22" s="17" t="n">
        <v>20</v>
      </c>
      <c r="J22" s="19" t="n">
        <f aca="false">H22-I22</f>
        <v>0</v>
      </c>
      <c r="K22" s="20" t="n">
        <f aca="false">IF(H22=0,0,MIN(I22/H22,1))</f>
        <v>1</v>
      </c>
      <c r="L22" s="14" t="s">
        <v>52</v>
      </c>
      <c r="M22" s="10" t="s">
        <v>24</v>
      </c>
      <c r="N22" s="21" t="s">
        <v>25</v>
      </c>
      <c r="O22" s="18" t="s">
        <v>66</v>
      </c>
    </row>
    <row r="23" customFormat="false" ht="18" hidden="false" customHeight="true" outlineLevel="0" collapsed="false">
      <c r="A23" s="17" t="n">
        <v>19</v>
      </c>
      <c r="B23" s="17" t="s">
        <v>68</v>
      </c>
      <c r="C23" s="18" t="s">
        <v>47</v>
      </c>
      <c r="D23" s="18" t="s">
        <v>54</v>
      </c>
      <c r="E23" s="18" t="s">
        <v>91</v>
      </c>
      <c r="F23" s="18" t="s">
        <v>92</v>
      </c>
      <c r="G23" s="18" t="s">
        <v>57</v>
      </c>
      <c r="H23" s="17" t="n">
        <v>15</v>
      </c>
      <c r="I23" s="17" t="n">
        <v>15</v>
      </c>
      <c r="J23" s="19" t="n">
        <f aca="false">H23-I23</f>
        <v>0</v>
      </c>
      <c r="K23" s="20" t="n">
        <f aca="false">IF(H23=0,0,MIN(I23/H23,1))</f>
        <v>1</v>
      </c>
      <c r="L23" s="14" t="s">
        <v>52</v>
      </c>
      <c r="M23" s="10" t="s">
        <v>24</v>
      </c>
      <c r="N23" s="21" t="s">
        <v>25</v>
      </c>
      <c r="O23" s="18" t="s">
        <v>52</v>
      </c>
    </row>
    <row r="24" customFormat="false" ht="18" hidden="false" customHeight="true" outlineLevel="0" collapsed="false">
      <c r="A24" s="17" t="n">
        <v>20</v>
      </c>
      <c r="B24" s="17" t="s">
        <v>68</v>
      </c>
      <c r="C24" s="18" t="s">
        <v>47</v>
      </c>
      <c r="D24" s="18" t="s">
        <v>54</v>
      </c>
      <c r="E24" s="18" t="s">
        <v>93</v>
      </c>
      <c r="F24" s="18" t="s">
        <v>94</v>
      </c>
      <c r="G24" s="18" t="s">
        <v>57</v>
      </c>
      <c r="H24" s="17" t="n">
        <v>15</v>
      </c>
      <c r="I24" s="17" t="n">
        <v>15</v>
      </c>
      <c r="J24" s="19" t="n">
        <f aca="false">H24-I24</f>
        <v>0</v>
      </c>
      <c r="K24" s="20" t="n">
        <f aca="false">IF(H24=0,0,MIN(I24/H24,1))</f>
        <v>1</v>
      </c>
      <c r="L24" s="14" t="s">
        <v>52</v>
      </c>
      <c r="M24" s="10" t="s">
        <v>24</v>
      </c>
      <c r="N24" s="21" t="s">
        <v>25</v>
      </c>
      <c r="O24" s="18" t="s">
        <v>52</v>
      </c>
    </row>
    <row r="25" customFormat="false" ht="18" hidden="false" customHeight="true" outlineLevel="0" collapsed="false">
      <c r="A25" s="17" t="n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customFormat="false" ht="18" hidden="false" customHeight="true" outlineLevel="0" collapsed="false">
      <c r="A26" s="17" t="n">
        <v>22</v>
      </c>
      <c r="B26" s="17" t="s">
        <v>68</v>
      </c>
      <c r="C26" s="18" t="s">
        <v>95</v>
      </c>
      <c r="D26" s="18" t="s">
        <v>68</v>
      </c>
      <c r="E26" s="18" t="s">
        <v>96</v>
      </c>
      <c r="F26" s="18" t="s">
        <v>97</v>
      </c>
      <c r="G26" s="18" t="s">
        <v>98</v>
      </c>
      <c r="H26" s="17" t="n">
        <v>25</v>
      </c>
      <c r="I26" s="17" t="n">
        <v>25</v>
      </c>
      <c r="J26" s="19" t="n">
        <f aca="false">H26-I26</f>
        <v>0</v>
      </c>
      <c r="K26" s="20" t="n">
        <f aca="false">IF(H26=0,0,MIN(I26/H26,1))</f>
        <v>1</v>
      </c>
      <c r="L26" s="12" t="s">
        <v>35</v>
      </c>
      <c r="M26" s="10" t="s">
        <v>24</v>
      </c>
      <c r="N26" s="21" t="s">
        <v>25</v>
      </c>
      <c r="O26" s="18"/>
    </row>
    <row r="27" customFormat="false" ht="18" hidden="false" customHeight="true" outlineLevel="0" collapsed="false">
      <c r="A27" s="23" t="s">
        <v>99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customFormat="false" ht="18" hidden="false" customHeight="true" outlineLevel="0" collapsed="false">
      <c r="A28" s="25" t="n">
        <v>23</v>
      </c>
      <c r="B28" s="25" t="s">
        <v>100</v>
      </c>
      <c r="C28" s="26" t="s">
        <v>38</v>
      </c>
      <c r="D28" s="26" t="s">
        <v>101</v>
      </c>
      <c r="E28" s="26" t="s">
        <v>102</v>
      </c>
      <c r="F28" s="26" t="s">
        <v>103</v>
      </c>
      <c r="G28" s="26" t="s">
        <v>46</v>
      </c>
      <c r="H28" s="25" t="n">
        <v>30</v>
      </c>
      <c r="I28" s="25" t="n">
        <v>30</v>
      </c>
      <c r="J28" s="27" t="n">
        <f aca="false">H28-I28</f>
        <v>0</v>
      </c>
      <c r="K28" s="28" t="n">
        <f aca="false">IF(H28=0,0,MIN(I28/H28,1))</f>
        <v>1</v>
      </c>
      <c r="L28" s="9" t="s">
        <v>23</v>
      </c>
      <c r="M28" s="10" t="s">
        <v>24</v>
      </c>
      <c r="N28" s="29" t="s">
        <v>25</v>
      </c>
      <c r="O28" s="26" t="s">
        <v>71</v>
      </c>
    </row>
    <row r="29" customFormat="false" ht="18" hidden="false" customHeight="true" outlineLevel="0" collapsed="false">
      <c r="A29" s="25" t="n">
        <v>24</v>
      </c>
      <c r="B29" s="25" t="s">
        <v>100</v>
      </c>
      <c r="C29" s="26" t="s">
        <v>38</v>
      </c>
      <c r="D29" s="26" t="s">
        <v>101</v>
      </c>
      <c r="E29" s="26" t="s">
        <v>104</v>
      </c>
      <c r="F29" s="26" t="s">
        <v>105</v>
      </c>
      <c r="G29" s="26" t="s">
        <v>46</v>
      </c>
      <c r="H29" s="25" t="n">
        <v>25</v>
      </c>
      <c r="I29" s="25" t="n">
        <v>25</v>
      </c>
      <c r="J29" s="27" t="n">
        <f aca="false">H29-I29</f>
        <v>0</v>
      </c>
      <c r="K29" s="28" t="n">
        <f aca="false">IF(H29=0,0,MIN(I29/H29,1))</f>
        <v>1</v>
      </c>
      <c r="L29" s="9" t="s">
        <v>23</v>
      </c>
      <c r="M29" s="10" t="s">
        <v>24</v>
      </c>
      <c r="N29" s="29" t="s">
        <v>25</v>
      </c>
      <c r="O29" s="26" t="s">
        <v>71</v>
      </c>
    </row>
    <row r="30" customFormat="false" ht="18" hidden="false" customHeight="true" outlineLevel="0" collapsed="false">
      <c r="A30" s="25" t="n">
        <v>25</v>
      </c>
      <c r="B30" s="25" t="s">
        <v>100</v>
      </c>
      <c r="C30" s="26" t="s">
        <v>59</v>
      </c>
      <c r="D30" s="26" t="s">
        <v>106</v>
      </c>
      <c r="E30" s="26" t="s">
        <v>107</v>
      </c>
      <c r="F30" s="26" t="s">
        <v>108</v>
      </c>
      <c r="G30" s="26" t="s">
        <v>46</v>
      </c>
      <c r="H30" s="25" t="n">
        <v>35</v>
      </c>
      <c r="I30" s="25" t="n">
        <v>35</v>
      </c>
      <c r="J30" s="27" t="n">
        <f aca="false">H30-I30</f>
        <v>0</v>
      </c>
      <c r="K30" s="28" t="n">
        <f aca="false">IF(H30=0,0,MIN(I30/H30,1))</f>
        <v>1</v>
      </c>
      <c r="L30" s="12" t="s">
        <v>35</v>
      </c>
      <c r="M30" s="10" t="s">
        <v>24</v>
      </c>
      <c r="N30" s="29" t="s">
        <v>25</v>
      </c>
      <c r="O30" s="26" t="s">
        <v>77</v>
      </c>
    </row>
    <row r="31" customFormat="false" ht="18" hidden="false" customHeight="true" outlineLevel="0" collapsed="false">
      <c r="A31" s="25" t="n">
        <v>26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customFormat="false" ht="18" hidden="false" customHeight="true" outlineLevel="0" collapsed="false">
      <c r="A32" s="25" t="n">
        <v>27</v>
      </c>
      <c r="B32" s="25" t="s">
        <v>100</v>
      </c>
      <c r="C32" s="26" t="s">
        <v>47</v>
      </c>
      <c r="D32" s="26" t="s">
        <v>55</v>
      </c>
      <c r="E32" s="26" t="s">
        <v>109</v>
      </c>
      <c r="F32" s="26" t="s">
        <v>110</v>
      </c>
      <c r="G32" s="26" t="s">
        <v>57</v>
      </c>
      <c r="H32" s="25" t="n">
        <v>20</v>
      </c>
      <c r="I32" s="25" t="n">
        <v>20</v>
      </c>
      <c r="J32" s="27" t="n">
        <f aca="false">H32-I32</f>
        <v>0</v>
      </c>
      <c r="K32" s="28" t="n">
        <f aca="false">IF(H32=0,0,MIN(I32/H32,1))</f>
        <v>1</v>
      </c>
      <c r="L32" s="14" t="s">
        <v>52</v>
      </c>
      <c r="M32" s="10" t="s">
        <v>24</v>
      </c>
      <c r="N32" s="29" t="s">
        <v>25</v>
      </c>
      <c r="O32" s="26" t="s">
        <v>111</v>
      </c>
    </row>
    <row r="33" customFormat="false" ht="18" hidden="false" customHeight="true" outlineLevel="0" collapsed="false">
      <c r="A33" s="25" t="n">
        <v>28</v>
      </c>
      <c r="B33" s="25" t="s">
        <v>100</v>
      </c>
      <c r="C33" s="26" t="s">
        <v>95</v>
      </c>
      <c r="D33" s="26" t="s">
        <v>100</v>
      </c>
      <c r="E33" s="26" t="s">
        <v>112</v>
      </c>
      <c r="F33" s="26" t="s">
        <v>113</v>
      </c>
      <c r="G33" s="26" t="s">
        <v>98</v>
      </c>
      <c r="H33" s="25" t="n">
        <v>20</v>
      </c>
      <c r="I33" s="25" t="n">
        <v>20</v>
      </c>
      <c r="J33" s="27" t="n">
        <f aca="false">H33-I33</f>
        <v>0</v>
      </c>
      <c r="K33" s="28" t="n">
        <f aca="false">IF(H33=0,0,MIN(I33/H33,1))</f>
        <v>1</v>
      </c>
      <c r="L33" s="12" t="s">
        <v>35</v>
      </c>
      <c r="M33" s="10" t="s">
        <v>24</v>
      </c>
      <c r="N33" s="29" t="s">
        <v>25</v>
      </c>
      <c r="O33" s="26"/>
    </row>
    <row r="34" customFormat="false" ht="18" hidden="false" customHeight="true" outlineLevel="0" collapsed="false">
      <c r="A34" s="30" t="s">
        <v>114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  <row r="35" customFormat="false" ht="18" hidden="false" customHeight="true" outlineLevel="0" collapsed="false">
      <c r="A35" s="32" t="n">
        <v>29</v>
      </c>
      <c r="B35" s="32" t="s">
        <v>115</v>
      </c>
      <c r="C35" s="33" t="s">
        <v>116</v>
      </c>
      <c r="D35" s="33" t="s">
        <v>117</v>
      </c>
      <c r="E35" s="33" t="s">
        <v>118</v>
      </c>
      <c r="F35" s="33" t="s">
        <v>119</v>
      </c>
      <c r="G35" s="33" t="s">
        <v>117</v>
      </c>
      <c r="H35" s="32"/>
      <c r="I35" s="32"/>
      <c r="J35" s="34" t="n">
        <v>0</v>
      </c>
      <c r="K35" s="35" t="n">
        <v>0</v>
      </c>
      <c r="L35" s="32" t="s">
        <v>117</v>
      </c>
      <c r="M35" s="36" t="s">
        <v>120</v>
      </c>
      <c r="N35" s="32" t="s">
        <v>117</v>
      </c>
      <c r="O35" s="33"/>
    </row>
    <row r="36" customFormat="false" ht="18" hidden="false" customHeight="true" outlineLevel="0" collapsed="false">
      <c r="A36" s="32" t="n">
        <v>30</v>
      </c>
      <c r="B36" s="32" t="s">
        <v>115</v>
      </c>
      <c r="C36" s="33" t="s">
        <v>116</v>
      </c>
      <c r="D36" s="33" t="s">
        <v>117</v>
      </c>
      <c r="E36" s="33" t="s">
        <v>121</v>
      </c>
      <c r="F36" s="33" t="s">
        <v>119</v>
      </c>
      <c r="G36" s="33" t="s">
        <v>117</v>
      </c>
      <c r="H36" s="32"/>
      <c r="I36" s="32"/>
      <c r="J36" s="34" t="n">
        <v>0</v>
      </c>
      <c r="K36" s="35" t="n">
        <v>0</v>
      </c>
      <c r="L36" s="32" t="s">
        <v>117</v>
      </c>
      <c r="M36" s="36" t="s">
        <v>120</v>
      </c>
      <c r="N36" s="32" t="s">
        <v>117</v>
      </c>
      <c r="O36" s="33"/>
    </row>
    <row r="37" customFormat="false" ht="18" hidden="false" customHeight="true" outlineLevel="0" collapsed="false">
      <c r="A37" s="32" t="n">
        <v>31</v>
      </c>
      <c r="B37" s="32" t="s">
        <v>115</v>
      </c>
      <c r="C37" s="33" t="s">
        <v>116</v>
      </c>
      <c r="D37" s="33" t="s">
        <v>117</v>
      </c>
      <c r="E37" s="33" t="s">
        <v>122</v>
      </c>
      <c r="F37" s="33" t="s">
        <v>119</v>
      </c>
      <c r="G37" s="33" t="s">
        <v>98</v>
      </c>
      <c r="H37" s="32"/>
      <c r="I37" s="32"/>
      <c r="J37" s="34" t="n">
        <v>0</v>
      </c>
      <c r="K37" s="35" t="n">
        <v>0</v>
      </c>
      <c r="L37" s="32" t="s">
        <v>117</v>
      </c>
      <c r="M37" s="36" t="s">
        <v>120</v>
      </c>
      <c r="N37" s="32" t="s">
        <v>117</v>
      </c>
      <c r="O37" s="33"/>
    </row>
    <row r="38" customFormat="false" ht="18" hidden="false" customHeight="true" outlineLevel="0" collapsed="false">
      <c r="A38" s="32" t="n">
        <v>32</v>
      </c>
      <c r="B38" s="32" t="s">
        <v>115</v>
      </c>
      <c r="C38" s="33" t="s">
        <v>123</v>
      </c>
      <c r="D38" s="33" t="s">
        <v>124</v>
      </c>
      <c r="E38" s="33" t="s">
        <v>125</v>
      </c>
      <c r="F38" s="33" t="s">
        <v>126</v>
      </c>
      <c r="G38" s="33" t="s">
        <v>127</v>
      </c>
      <c r="H38" s="32"/>
      <c r="I38" s="32"/>
      <c r="J38" s="34" t="n">
        <v>0</v>
      </c>
      <c r="K38" s="35" t="n">
        <v>0</v>
      </c>
      <c r="L38" s="32" t="s">
        <v>117</v>
      </c>
      <c r="M38" s="36" t="s">
        <v>120</v>
      </c>
      <c r="N38" s="37" t="s">
        <v>25</v>
      </c>
      <c r="O38" s="33"/>
    </row>
  </sheetData>
  <mergeCells count="5">
    <mergeCell ref="A1:O1"/>
    <mergeCell ref="A3:O3"/>
    <mergeCell ref="A13:O13"/>
    <mergeCell ref="A25:O25"/>
    <mergeCell ref="A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</cols>
  <sheetData>
    <row r="1" customFormat="false" ht="21.75" hidden="false" customHeight="true" outlineLevel="0" collapsed="false">
      <c r="A1" s="2" t="s">
        <v>128</v>
      </c>
      <c r="B1" s="2"/>
      <c r="C1" s="2"/>
      <c r="D1" s="2"/>
      <c r="E1" s="2"/>
      <c r="F1" s="2"/>
      <c r="G1" s="2"/>
    </row>
    <row r="2" customFormat="false" ht="24.75" hidden="false" customHeight="true" outlineLevel="0" collapsed="false">
      <c r="A2" s="3" t="s">
        <v>129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</row>
    <row r="3" customFormat="false" ht="21.75" hidden="false" customHeight="true" outlineLevel="0" collapsed="false">
      <c r="A3" s="38" t="s">
        <v>136</v>
      </c>
      <c r="B3" s="39" t="n">
        <f aca="false">Liste_des_taches!H4+Liste_des_taches!H5+Liste_des_taches!H6+Liste_des_taches!H7+Liste_des_taches!H8+Liste_des_taches!H9+Liste_des_taches!H10+Liste_des_taches!H11+Liste_des_taches!H12</f>
        <v>230</v>
      </c>
      <c r="C3" s="39" t="n">
        <f aca="false">Liste_des_taches!H15+Liste_des_taches!H16+Liste_des_taches!H17+Liste_des_taches!H18+Liste_des_taches!H19+Liste_des_taches!H20+Liste_des_taches!H21+Liste_des_taches!H22+Liste_des_taches!H23+Liste_des_taches!H24+Liste_des_taches!H26</f>
        <v>260</v>
      </c>
      <c r="D3" s="39" t="n">
        <f aca="false">Liste_des_taches!H28+Liste_des_taches!H29+Liste_des_taches!H30+Liste_des_taches!H32+Liste_des_taches!H33</f>
        <v>130</v>
      </c>
      <c r="E3" s="39" t="n">
        <f aca="false">Liste_des_taches!H35+Liste_des_taches!H36+Liste_des_taches!H37+Liste_des_taches!H38</f>
        <v>0</v>
      </c>
      <c r="F3" s="40" t="n">
        <f aca="false">B3+C3+D3+E3</f>
        <v>620</v>
      </c>
      <c r="G3" s="41" t="n">
        <f aca="false">ROUND(F3/60,1)</f>
        <v>10.3</v>
      </c>
    </row>
    <row r="4" customFormat="false" ht="21.75" hidden="false" customHeight="true" outlineLevel="0" collapsed="false">
      <c r="A4" s="38" t="s">
        <v>137</v>
      </c>
      <c r="B4" s="39" t="n">
        <f aca="false">Liste_des_taches!I4+Liste_des_taches!I5+Liste_des_taches!I6+Liste_des_taches!I7+Liste_des_taches!I8+Liste_des_taches!I9+Liste_des_taches!I10+Liste_des_taches!I11+Liste_des_taches!I12</f>
        <v>230</v>
      </c>
      <c r="C4" s="39" t="n">
        <f aca="false">Liste_des_taches!I15+Liste_des_taches!I16+Liste_des_taches!I17+Liste_des_taches!I18+Liste_des_taches!I19+Liste_des_taches!I20+Liste_des_taches!I21+Liste_des_taches!I22+Liste_des_taches!I23+Liste_des_taches!I24+Liste_des_taches!I26</f>
        <v>260</v>
      </c>
      <c r="D4" s="39" t="n">
        <f aca="false">Liste_des_taches!I28+Liste_des_taches!I29+Liste_des_taches!I30+Liste_des_taches!I32+Liste_des_taches!I33</f>
        <v>130</v>
      </c>
      <c r="E4" s="39" t="n">
        <f aca="false">Liste_des_taches!I35+Liste_des_taches!I36+Liste_des_taches!I37+Liste_des_taches!I38</f>
        <v>0</v>
      </c>
      <c r="F4" s="40" t="n">
        <f aca="false">B4+C4+D4+E4</f>
        <v>620</v>
      </c>
      <c r="G4" s="41" t="n">
        <f aca="false">ROUND(F4/60,1)</f>
        <v>10.3</v>
      </c>
    </row>
    <row r="5" customFormat="false" ht="21.75" hidden="false" customHeight="true" outlineLevel="0" collapsed="false">
      <c r="A5" s="38" t="s">
        <v>138</v>
      </c>
      <c r="B5" s="39" t="n">
        <f aca="false">Liste_des_taches!J4+Liste_des_taches!J5+Liste_des_taches!J6+Liste_des_taches!J7+Liste_des_taches!J8+Liste_des_taches!J9+Liste_des_taches!J10+Liste_des_taches!J11+Liste_des_taches!J12</f>
        <v>0</v>
      </c>
      <c r="C5" s="39" t="n">
        <f aca="false">Liste_des_taches!J15+Liste_des_taches!J16+Liste_des_taches!J17+Liste_des_taches!J18+Liste_des_taches!J19+Liste_des_taches!J20+Liste_des_taches!J21+Liste_des_taches!J22+Liste_des_taches!J23+Liste_des_taches!J24+Liste_des_taches!J26</f>
        <v>0</v>
      </c>
      <c r="D5" s="39" t="n">
        <f aca="false">Liste_des_taches!J28+Liste_des_taches!J29+Liste_des_taches!J30+Liste_des_taches!J32+Liste_des_taches!J33</f>
        <v>0</v>
      </c>
      <c r="E5" s="39" t="n">
        <f aca="false">Liste_des_taches!J35+Liste_des_taches!J36+Liste_des_taches!J37+Liste_des_taches!J38</f>
        <v>0</v>
      </c>
      <c r="F5" s="40" t="n">
        <f aca="false">B5+C5+D5+E5</f>
        <v>0</v>
      </c>
      <c r="G5" s="41" t="n">
        <f aca="false">ROUND(F5/60,1)</f>
        <v>0</v>
      </c>
    </row>
    <row r="6" customFormat="false" ht="21.75" hidden="false" customHeight="true" outlineLevel="0" collapsed="false">
      <c r="A6" s="38" t="s">
        <v>11</v>
      </c>
      <c r="B6" s="42" t="n">
        <f aca="false">IF(B3=0,0,B4/B3)</f>
        <v>1</v>
      </c>
      <c r="C6" s="42" t="n">
        <f aca="false">IF(C3=0,0,C4/C3)</f>
        <v>1</v>
      </c>
      <c r="D6" s="42" t="n">
        <f aca="false">IF(D3=0,0,D4/D3)</f>
        <v>1</v>
      </c>
      <c r="E6" s="42" t="n">
        <f aca="false">IF(E3=0,0,E4/E3)</f>
        <v>0</v>
      </c>
      <c r="F6" s="43" t="n">
        <f aca="false">IF(B3+C3+D3+E3=0,0,(B4+C4+D4+E4)/(B3+C3+D3+E3))</f>
        <v>1</v>
      </c>
      <c r="G6" s="44" t="s">
        <v>117</v>
      </c>
    </row>
    <row r="7" customFormat="false" ht="18" hidden="false" customHeight="true" outlineLevel="0" collapsed="false">
      <c r="A7" s="45" t="s">
        <v>139</v>
      </c>
      <c r="B7" s="46" t="str">
        <f aca="false">TEXT((Liste_des_taches!M4="✅ Terminé")*1+(Liste_des_taches!M5="✅ Terminé")*1+(Liste_des_taches!M6="✅ Terminé")*1+(Liste_des_taches!M7="✅ Terminé")*1+(Liste_des_taches!M8="✅ Terminé")*1+(Liste_des_taches!M9="✅ Terminé")*1+(Liste_des_taches!M10="✅ Terminé")*1+(Liste_des_taches!M11="✅ Terminé")*1+(Liste_des_taches!M12="✅ Terminé")*1,"0")&amp;"/9"</f>
        <v>9/9</v>
      </c>
      <c r="C7" s="46" t="str">
        <f aca="false">TEXT((Liste_des_taches!M15="✅ Terminé")*1+(Liste_des_taches!M16="✅ Terminé")*1+(Liste_des_taches!M17="✅ Terminé")*1+(Liste_des_taches!M18="✅ Terminé")*1+(Liste_des_taches!M19="✅ Terminé")*1+(Liste_des_taches!M20="✅ Terminé")*1+(Liste_des_taches!M21="✅ Terminé")*1+(Liste_des_taches!M22="✅ Terminé")*1+(Liste_des_taches!M23="✅ Terminé")*1+(Liste_des_taches!M24="✅ Terminé")*1+(Liste_des_taches!M26="✅ Terminé")*1,"0")&amp;"/11"</f>
        <v>11/11</v>
      </c>
      <c r="D7" s="46" t="str">
        <f aca="false">TEXT((Liste_des_taches!M28="✅ Terminé")*1+(Liste_des_taches!M29="✅ Terminé")*1+(Liste_des_taches!M30="✅ Terminé")*1+(Liste_des_taches!M32="✅ Terminé")*1+(Liste_des_taches!M33="✅ Terminé")*1,"0")&amp;"/5"</f>
        <v>5/5</v>
      </c>
      <c r="E7" s="46" t="str">
        <f aca="false">TEXT((Liste_des_taches!M35="✅ Terminé")*1+(Liste_des_taches!M36="✅ Terminé")*1+(Liste_des_taches!M37="✅ Terminé")*1+(Liste_des_taches!M38="✅ Terminé")*1,"0")&amp;"/4"</f>
        <v>0/4</v>
      </c>
      <c r="F7" s="47" t="str">
        <f aca="false">TEXT((Liste_des_taches!M4="✅ Terminé")*1+(Liste_des_taches!M5="✅ Terminé")*1+(Liste_des_taches!M6="✅ Terminé")*1+(Liste_des_taches!M7="✅ Terminé")*1+(Liste_des_taches!M8="✅ Terminé")*1+(Liste_des_taches!M9="✅ Terminé")*1+(Liste_des_taches!M10="✅ Terminé")*1+(Liste_des_taches!M11="✅ Terminé")*1+(Liste_des_taches!M12="✅ Terminé")*1+(Liste_des_taches!M15="✅ Terminé")*1+(Liste_des_taches!M16="✅ Terminé")*1+(Liste_des_taches!M17="✅ Terminé")*1+(Liste_des_taches!M18="✅ Terminé")*1+(Liste_des_taches!M19="✅ Terminé")*1+(Liste_des_taches!M20="✅ Terminé")*1+(Liste_des_taches!M21="✅ Terminé")*1+(Liste_des_taches!M22="✅ Terminé")*1+(Liste_des_taches!M23="✅ Terminé")*1+(Liste_des_taches!M24="✅ Terminé")*1+(Liste_des_taches!M26="✅ Terminé")*1+(Liste_des_taches!M28="✅ Terminé")*1+(Liste_des_taches!M29="✅ Terminé")*1+(Liste_des_taches!M30="✅ Terminé")*1+(Liste_des_taches!M32="✅ Terminé")*1+(Liste_des_taches!M33="✅ Terminé")*1+(Liste_des_taches!M35="✅ Terminé")*1+(Liste_des_taches!M36="✅ Terminé")*1+(Liste_des_taches!M37="✅ Terminé")*1+(Liste_des_taches!M38="✅ Terminé")*1,"0")&amp;"/29"</f>
        <v>25/29</v>
      </c>
      <c r="G7" s="48" t="s">
        <v>117</v>
      </c>
    </row>
    <row r="8" customFormat="false" ht="19.5" hidden="false" customHeight="true" outlineLevel="0" collapsed="false">
      <c r="A8" s="49" t="s">
        <v>140</v>
      </c>
      <c r="B8" s="49"/>
      <c r="C8" s="49"/>
      <c r="D8" s="49"/>
      <c r="E8" s="49"/>
      <c r="F8" s="49"/>
      <c r="G8" s="49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2" min="2" style="1" width="11"/>
  </cols>
  <sheetData>
    <row r="1" customFormat="false" ht="21.75" hidden="false" customHeight="true" outlineLevel="0" collapsed="false">
      <c r="A1" s="2" t="s">
        <v>141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147</v>
      </c>
      <c r="G2" s="3" t="s">
        <v>135</v>
      </c>
      <c r="H2" s="3" t="s">
        <v>148</v>
      </c>
    </row>
    <row r="3" customFormat="false" ht="21.75" hidden="false" customHeight="true" outlineLevel="0" collapsed="false">
      <c r="A3" s="9" t="s">
        <v>23</v>
      </c>
      <c r="B3" s="50" t="n">
        <f aca="false">IF(Liste_des_taches!L4="Kenny",Liste_des_taches!H4,0)+IF(Liste_des_taches!L5="Kenny",Liste_des_taches!H5,0)+IF(Liste_des_taches!L6="Kenny",Liste_des_taches!H6,0)+IF(Liste_des_taches!L7="Kenny",Liste_des_taches!H7,0)+IF(Liste_des_taches!L8="Kenny",Liste_des_taches!H8,0)+IF(Liste_des_taches!L9="Kenny",Liste_des_taches!H9,0)+IF(Liste_des_taches!L10="Kenny",Liste_des_taches!H10,0)+IF(Liste_des_taches!L11="Kenny",Liste_des_taches!H11,0)+IF(Liste_des_taches!L12="Kenny",Liste_des_taches!H12,0)</f>
        <v>150</v>
      </c>
      <c r="C3" s="50" t="n">
        <f aca="false">IF(Liste_des_taches!L15="Kenny",Liste_des_taches!H15,0)+IF(Liste_des_taches!L16="Kenny",Liste_des_taches!H16,0)+IF(Liste_des_taches!L17="Kenny",Liste_des_taches!H17,0)+IF(Liste_des_taches!L18="Kenny",Liste_des_taches!H18,0)+IF(Liste_des_taches!L19="Kenny",Liste_des_taches!H19,0)+IF(Liste_des_taches!L20="Kenny",Liste_des_taches!H20,0)+IF(Liste_des_taches!L21="Kenny",Liste_des_taches!H21,0)+IF(Liste_des_taches!L22="Kenny",Liste_des_taches!H22,0)+IF(Liste_des_taches!L23="Kenny",Liste_des_taches!H23,0)+IF(Liste_des_taches!L24="Kenny",Liste_des_taches!H24,0)+IF(Liste_des_taches!L26="Kenny",Liste_des_taches!H26,0)</f>
        <v>60</v>
      </c>
      <c r="D3" s="50" t="n">
        <f aca="false">IF(Liste_des_taches!L28="Kenny",Liste_des_taches!H28,0)+IF(Liste_des_taches!L29="Kenny",Liste_des_taches!H29,0)+IF(Liste_des_taches!L30="Kenny",Liste_des_taches!H30,0)+IF(Liste_des_taches!L32="Kenny",Liste_des_taches!H32,0)+IF(Liste_des_taches!L33="Kenny",Liste_des_taches!H33,0)</f>
        <v>55</v>
      </c>
      <c r="E3" s="50" t="n">
        <f aca="false">IF(Liste_des_taches!L35="Kenny",Liste_des_taches!H35,0)+IF(Liste_des_taches!L36="Kenny",Liste_des_taches!H36,0)+IF(Liste_des_taches!L37="Kenny",Liste_des_taches!H37,0)+IF(Liste_des_taches!L38="Kenny",Liste_des_taches!H38,0)</f>
        <v>0</v>
      </c>
      <c r="F3" s="51" t="n">
        <f aca="false">B3+C3+D3+E3</f>
        <v>265</v>
      </c>
      <c r="G3" s="52" t="n">
        <f aca="false">F3/60</f>
        <v>4.41666666666667</v>
      </c>
      <c r="H3" s="53" t="n">
        <f aca="false">F3/F7</f>
        <v>0.42741935483871</v>
      </c>
    </row>
    <row r="4" customFormat="false" ht="21.75" hidden="false" customHeight="true" outlineLevel="0" collapsed="false">
      <c r="A4" s="14" t="s">
        <v>52</v>
      </c>
      <c r="B4" s="54" t="n">
        <f aca="false">IF(Liste_des_taches!L4="Maeva",Liste_des_taches!H4,0)+IF(Liste_des_taches!L5="Maeva",Liste_des_taches!H5,0)+IF(Liste_des_taches!L6="Maeva",Liste_des_taches!H6,0)+IF(Liste_des_taches!L7="Maeva",Liste_des_taches!H7,0)+IF(Liste_des_taches!L8="Maeva",Liste_des_taches!H8,0)+IF(Liste_des_taches!L9="Maeva",Liste_des_taches!H9,0)+IF(Liste_des_taches!L10="Maeva",Liste_des_taches!H10,0)+IF(Liste_des_taches!L11="Maeva",Liste_des_taches!H11,0)+IF(Liste_des_taches!L12="Maeva",Liste_des_taches!H12,0)</f>
        <v>45</v>
      </c>
      <c r="C4" s="54" t="n">
        <f aca="false">IF(Liste_des_taches!L15="Maeva",Liste_des_taches!H15,0)+IF(Liste_des_taches!L16="Maeva",Liste_des_taches!H16,0)+IF(Liste_des_taches!L17="Maeva",Liste_des_taches!H17,0)+IF(Liste_des_taches!L18="Maeva",Liste_des_taches!H18,0)+IF(Liste_des_taches!L19="Maeva",Liste_des_taches!H19,0)+IF(Liste_des_taches!L20="Maeva",Liste_des_taches!H20,0)+IF(Liste_des_taches!L21="Maeva",Liste_des_taches!H21,0)+IF(Liste_des_taches!L22="Maeva",Liste_des_taches!H22,0)+IF(Liste_des_taches!L23="Maeva",Liste_des_taches!H23,0)+IF(Liste_des_taches!L24="Maeva",Liste_des_taches!H24,0)+IF(Liste_des_taches!L26="Maeva",Liste_des_taches!H26,0)</f>
        <v>110</v>
      </c>
      <c r="D4" s="54" t="n">
        <f aca="false">IF(Liste_des_taches!L28="Maeva",Liste_des_taches!H28,0)+IF(Liste_des_taches!L29="Maeva",Liste_des_taches!H29,0)+IF(Liste_des_taches!L30="Maeva",Liste_des_taches!H30,0)+IF(Liste_des_taches!L32="Maeva",Liste_des_taches!H32,0)+IF(Liste_des_taches!L33="Maeva",Liste_des_taches!H33,0)</f>
        <v>20</v>
      </c>
      <c r="E4" s="54" t="n">
        <f aca="false">IF(Liste_des_taches!L35="Maeva",Liste_des_taches!H35,0)+IF(Liste_des_taches!L36="Maeva",Liste_des_taches!H36,0)+IF(Liste_des_taches!L37="Maeva",Liste_des_taches!H37,0)+IF(Liste_des_taches!L38="Maeva",Liste_des_taches!H38,0)</f>
        <v>0</v>
      </c>
      <c r="F4" s="55" t="n">
        <f aca="false">B4+C4+D4+E4</f>
        <v>175</v>
      </c>
      <c r="G4" s="56" t="n">
        <f aca="false">F4/60</f>
        <v>2.91666666666667</v>
      </c>
      <c r="H4" s="57" t="n">
        <f aca="false">F4/F7</f>
        <v>0.282258064516129</v>
      </c>
    </row>
    <row r="5" customFormat="false" ht="21.75" hidden="false" customHeight="true" outlineLevel="0" collapsed="false">
      <c r="A5" s="12" t="s">
        <v>35</v>
      </c>
      <c r="B5" s="58" t="n">
        <f aca="false">IF(Liste_des_taches!L4="Ny aina",Liste_des_taches!H4,0)+IF(Liste_des_taches!L5="Ny aina",Liste_des_taches!H5,0)+IF(Liste_des_taches!L6="Ny aina",Liste_des_taches!H6,0)+IF(Liste_des_taches!L7="Ny aina",Liste_des_taches!H7,0)+IF(Liste_des_taches!L8="Ny aina",Liste_des_taches!H8,0)+IF(Liste_des_taches!L9="Ny aina",Liste_des_taches!H9,0)+IF(Liste_des_taches!L10="Ny aina",Liste_des_taches!H10,0)+IF(Liste_des_taches!L11="Ny aina",Liste_des_taches!H11,0)+IF(Liste_des_taches!L12="Ny aina",Liste_des_taches!H12,0)</f>
        <v>35</v>
      </c>
      <c r="C5" s="58" t="n">
        <f aca="false">IF(Liste_des_taches!L15="Ny aina",Liste_des_taches!H15,0)+IF(Liste_des_taches!L16="Ny aina",Liste_des_taches!H16,0)+IF(Liste_des_taches!L17="Ny aina",Liste_des_taches!H17,0)+IF(Liste_des_taches!L18="Ny aina",Liste_des_taches!H18,0)+IF(Liste_des_taches!L19="Ny aina",Liste_des_taches!H19,0)+IF(Liste_des_taches!L20="Ny aina",Liste_des_taches!H20,0)+IF(Liste_des_taches!L21="Ny aina",Liste_des_taches!H21,0)+IF(Liste_des_taches!L22="Ny aina",Liste_des_taches!H22,0)+IF(Liste_des_taches!L23="Ny aina",Liste_des_taches!H23,0)+IF(Liste_des_taches!L24="Ny aina",Liste_des_taches!H24,0)+IF(Liste_des_taches!L26="Ny aina",Liste_des_taches!H26,0)</f>
        <v>90</v>
      </c>
      <c r="D5" s="58" t="n">
        <f aca="false">IF(Liste_des_taches!L28="Ny aina",Liste_des_taches!H28,0)+IF(Liste_des_taches!L29="Ny aina",Liste_des_taches!H29,0)+IF(Liste_des_taches!L30="Ny aina",Liste_des_taches!H30,0)+IF(Liste_des_taches!L32="Ny aina",Liste_des_taches!H32,0)+IF(Liste_des_taches!L33="Ny aina",Liste_des_taches!H33,0)</f>
        <v>55</v>
      </c>
      <c r="E5" s="58" t="n">
        <f aca="false">IF(Liste_des_taches!L35="Ny aina",Liste_des_taches!H35,0)+IF(Liste_des_taches!L36="Ny aina",Liste_des_taches!H36,0)+IF(Liste_des_taches!L37="Ny aina",Liste_des_taches!H37,0)+IF(Liste_des_taches!L38="Ny aina",Liste_des_taches!H38,0)</f>
        <v>0</v>
      </c>
      <c r="F5" s="59" t="n">
        <f aca="false">B5+C5+D5+E5</f>
        <v>180</v>
      </c>
      <c r="G5" s="60" t="n">
        <f aca="false">F5/60</f>
        <v>3</v>
      </c>
      <c r="H5" s="61" t="n">
        <f aca="false">F5/F7</f>
        <v>0.290322580645161</v>
      </c>
    </row>
    <row r="6" customFormat="false" ht="15" hidden="false" customHeight="true" outlineLevel="0" collapsed="false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</row>
    <row r="7" customFormat="false" ht="21.75" hidden="false" customHeight="true" outlineLevel="0" collapsed="false">
      <c r="A7" s="44" t="s">
        <v>149</v>
      </c>
      <c r="B7" s="44" t="n">
        <f aca="false">SUM(B3:B6)</f>
        <v>230</v>
      </c>
      <c r="C7" s="44" t="n">
        <f aca="false">SUM(C3:C6)</f>
        <v>260</v>
      </c>
      <c r="D7" s="44" t="n">
        <f aca="false">SUM(D3:D6)</f>
        <v>130</v>
      </c>
      <c r="E7" s="44" t="n">
        <f aca="false">SUM(E3:E6)</f>
        <v>0</v>
      </c>
      <c r="F7" s="44" t="n">
        <f aca="false">SUM(F3:F6)</f>
        <v>620</v>
      </c>
      <c r="G7" s="63" t="n">
        <f aca="false">F7/60</f>
        <v>10.3333333333333</v>
      </c>
      <c r="H7" s="44" t="s">
        <v>150</v>
      </c>
    </row>
    <row r="8" customFormat="false" ht="9.75" hidden="false" customHeight="true" outlineLevel="0" collapsed="false"/>
    <row r="9" customFormat="false" ht="18" hidden="false" customHeight="true" outlineLevel="0" collapsed="false">
      <c r="A9" s="64" t="s">
        <v>151</v>
      </c>
      <c r="B9" s="64"/>
      <c r="C9" s="64"/>
      <c r="D9" s="64"/>
      <c r="E9" s="64" t="s">
        <v>152</v>
      </c>
      <c r="F9" s="64"/>
      <c r="G9" s="64"/>
      <c r="H9" s="64"/>
      <c r="I9" s="64" t="s">
        <v>153</v>
      </c>
      <c r="J9" s="64"/>
      <c r="K9" s="64"/>
      <c r="L9" s="64"/>
    </row>
    <row r="10" customFormat="false" ht="60" hidden="false" customHeight="true" outlineLevel="0" collapsed="false">
      <c r="A10" s="65" t="s">
        <v>154</v>
      </c>
      <c r="B10" s="65"/>
      <c r="C10" s="65"/>
      <c r="D10" s="65"/>
      <c r="E10" s="66" t="s">
        <v>155</v>
      </c>
      <c r="F10" s="66"/>
      <c r="G10" s="66"/>
      <c r="H10" s="66"/>
      <c r="I10" s="67" t="s">
        <v>156</v>
      </c>
      <c r="J10" s="67"/>
      <c r="K10" s="67"/>
      <c r="L10" s="67"/>
    </row>
    <row r="11" customFormat="false" ht="13.5" hidden="false" customHeight="true" outlineLevel="0" collapsed="false">
      <c r="A11" s="65"/>
      <c r="B11" s="65"/>
      <c r="C11" s="65"/>
      <c r="D11" s="65"/>
      <c r="E11" s="66"/>
      <c r="F11" s="66"/>
      <c r="G11" s="66"/>
      <c r="H11" s="66"/>
      <c r="I11" s="67"/>
      <c r="J11" s="67"/>
      <c r="K11" s="67"/>
      <c r="L11" s="67"/>
    </row>
  </sheetData>
  <mergeCells count="7">
    <mergeCell ref="A1:H1"/>
    <mergeCell ref="A9:D9"/>
    <mergeCell ref="E9:H9"/>
    <mergeCell ref="I9:L9"/>
    <mergeCell ref="A10:D11"/>
    <mergeCell ref="E10:H11"/>
    <mergeCell ref="I10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2026-02-17T10:02:32Z</dcterms:created>
  <dc:creator>openpyxl</dc:creator>
  <dc:description/>
  <dc:language>en-US</dc:language>
  <cp:lastModifiedBy/>
  <dcterms:modified xsi:type="dcterms:W3CDTF">2026-02-17T12:00:04Z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