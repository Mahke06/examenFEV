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NDOWS 11\Documents\"/>
    </mc:Choice>
  </mc:AlternateContent>
  <bookViews>
    <workbookView xWindow="0" yWindow="0" windowWidth="16380" windowHeight="8190" tabRatio="500"/>
  </bookViews>
  <sheets>
    <sheet name="Liste_des_taches" sheetId="1" r:id="rId1"/>
    <sheet name="Avancement_projet" sheetId="2" r:id="rId2"/>
    <sheet name="Detail" sheetId="3" r:id="rId3"/>
    <sheet name="Recap" sheetId="4" r:id="rId4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" i="4" l="1"/>
  <c r="C8" i="4" s="1"/>
  <c r="B7" i="4"/>
  <c r="C7" i="4" s="1"/>
  <c r="B6" i="4"/>
  <c r="C6" i="4" s="1"/>
  <c r="B5" i="4"/>
  <c r="C5" i="4" s="1"/>
  <c r="C2" i="2"/>
  <c r="B2" i="2"/>
  <c r="D2" i="2" s="1"/>
  <c r="B2" i="4" s="1"/>
  <c r="A2" i="2"/>
  <c r="E2" i="2" s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B9" i="4" l="1"/>
  <c r="C9" i="4" s="1"/>
  <c r="B4" i="2"/>
</calcChain>
</file>

<file path=xl/sharedStrings.xml><?xml version="1.0" encoding="utf-8"?>
<sst xmlns="http://schemas.openxmlformats.org/spreadsheetml/2006/main" count="434" uniqueCount="171">
  <si>
    <t>Ligne</t>
  </si>
  <si>
    <t>Catégorie</t>
  </si>
  <si>
    <t>Module</t>
  </si>
  <si>
    <t>Nom page</t>
  </si>
  <si>
    <t>Description</t>
  </si>
  <si>
    <t>Type</t>
  </si>
  <si>
    <t>Estimation (min)</t>
  </si>
  <si>
    <t>Temps passé</t>
  </si>
  <si>
    <t>Reste à faire</t>
  </si>
  <si>
    <t>Avancement</t>
  </si>
  <si>
    <t>Qui</t>
  </si>
  <si>
    <t>Status</t>
  </si>
  <si>
    <t>Priorité</t>
  </si>
  <si>
    <t>Git</t>
  </si>
  <si>
    <t>Setup</t>
  </si>
  <si>
    <t>Repository</t>
  </si>
  <si>
    <t>Créer le repository Git pour le projet</t>
  </si>
  <si>
    <t>Configuration</t>
  </si>
  <si>
    <t>Kenny</t>
  </si>
  <si>
    <t>À faire</t>
  </si>
  <si>
    <t>Haute</t>
  </si>
  <si>
    <t>GitHub Desktop</t>
  </si>
  <si>
    <t>Installer et configurer GitHub Desktop (tous)</t>
  </si>
  <si>
    <t>Tous</t>
  </si>
  <si>
    <t>.gitignore</t>
  </si>
  <si>
    <t>Créer le fichier .gitignore approprié</t>
  </si>
  <si>
    <t>Moyenne</t>
  </si>
  <si>
    <t>Workflow</t>
  </si>
  <si>
    <t>Commits</t>
  </si>
  <si>
    <t>Faire des commits réguliers (chacun)</t>
  </si>
  <si>
    <t>Pratique</t>
  </si>
  <si>
    <t>Database</t>
  </si>
  <si>
    <t>PostgreSQL</t>
  </si>
  <si>
    <t>Schema</t>
  </si>
  <si>
    <t>Créer le schéma de base de données</t>
  </si>
  <si>
    <t>SQL</t>
  </si>
  <si>
    <t>Tables</t>
  </si>
  <si>
    <t>Créer les tables (villes, sinistrés, besoins, dons)</t>
  </si>
  <si>
    <t>Triggers</t>
  </si>
  <si>
    <t>Implémenter les triggers nécessaires</t>
  </si>
  <si>
    <t>Functions</t>
  </si>
  <si>
    <t>Créer les fonctions PostgreSQL</t>
  </si>
  <si>
    <t>Procédures</t>
  </si>
  <si>
    <t>Implémenter les procédures stockées</t>
  </si>
  <si>
    <t>Données test</t>
  </si>
  <si>
    <t>Insérer des données de test</t>
  </si>
  <si>
    <t>Ny aina</t>
  </si>
  <si>
    <t>Backend</t>
  </si>
  <si>
    <t>FlightPHP</t>
  </si>
  <si>
    <t>Installation</t>
  </si>
  <si>
    <t>Installer FlightPHP via Composer</t>
  </si>
  <si>
    <t>Structure MVC</t>
  </si>
  <si>
    <t>Créer la structure MVC (Models/Views/Controllers)</t>
  </si>
  <si>
    <t>Architecture</t>
  </si>
  <si>
    <t>Config</t>
  </si>
  <si>
    <t>Configurer la connexion à la base de données</t>
  </si>
  <si>
    <t>Routes</t>
  </si>
  <si>
    <t>Définir les routes de l'application</t>
  </si>
  <si>
    <t>Code</t>
  </si>
  <si>
    <t>Models</t>
  </si>
  <si>
    <t>Ville.php</t>
  </si>
  <si>
    <t>Créer le modèle Ville</t>
  </si>
  <si>
    <t>Besoin.php</t>
  </si>
  <si>
    <t>Créer le modèle Besoin</t>
  </si>
  <si>
    <t>Don.php</t>
  </si>
  <si>
    <t>Créer le modèle Don</t>
  </si>
  <si>
    <t>Sinistre.php</t>
  </si>
  <si>
    <t>Créer le modèle Sinistré</t>
  </si>
  <si>
    <t>Controllers</t>
  </si>
  <si>
    <t>VilleController.php</t>
  </si>
  <si>
    <t>Créer le contrôleur des villes</t>
  </si>
  <si>
    <t>BesoinController.php</t>
  </si>
  <si>
    <t>Créer le contrôleur des besoins</t>
  </si>
  <si>
    <t>DonController.php</t>
  </si>
  <si>
    <t>Créer le contrôleur des dons</t>
  </si>
  <si>
    <t>DispatchController.php</t>
  </si>
  <si>
    <t>Créer le contrôleur de dispatch</t>
  </si>
  <si>
    <t>Frontend</t>
  </si>
  <si>
    <t>Bootstrap</t>
  </si>
  <si>
    <t>Intégrer Bootstrap 5</t>
  </si>
  <si>
    <t>Maeva</t>
  </si>
  <si>
    <t>Layout</t>
  </si>
  <si>
    <t>Template</t>
  </si>
  <si>
    <t>Créer le template de base</t>
  </si>
  <si>
    <t>HTML/CSS</t>
  </si>
  <si>
    <t>Navigation</t>
  </si>
  <si>
    <t>Créer la barre de navigation</t>
  </si>
  <si>
    <t>Footer</t>
  </si>
  <si>
    <t>Créer le footer</t>
  </si>
  <si>
    <t>Basse</t>
  </si>
  <si>
    <t>Pages</t>
  </si>
  <si>
    <t>Dashboard</t>
  </si>
  <si>
    <t>Page tableau de bord (liste villes + besoins + dons)</t>
  </si>
  <si>
    <t>HTML/Bootstrap</t>
  </si>
  <si>
    <t>Saisie Besoins</t>
  </si>
  <si>
    <t>Formulaire de saisie des besoins</t>
  </si>
  <si>
    <t>Saisie Dons</t>
  </si>
  <si>
    <t>Formulaire de saisie des dons</t>
  </si>
  <si>
    <t>Simulation Dispatch</t>
  </si>
  <si>
    <t>Interface de simulation de dispatch</t>
  </si>
  <si>
    <t>Résultats</t>
  </si>
  <si>
    <t>Page d'affichage des résultats dispatch</t>
  </si>
  <si>
    <t>Fonctionnalités</t>
  </si>
  <si>
    <t>Core</t>
  </si>
  <si>
    <t>Algorithme Dispatch</t>
  </si>
  <si>
    <t>Implémenter l'algorithme de dispatch par date</t>
  </si>
  <si>
    <t>Calcul Prix</t>
  </si>
  <si>
    <t>Gérer les calculs de prix unitaires</t>
  </si>
  <si>
    <t>Attribution</t>
  </si>
  <si>
    <t>Système d'attribution dons aux villes</t>
  </si>
  <si>
    <t>Affichage</t>
  </si>
  <si>
    <t>Tableaux données</t>
  </si>
  <si>
    <t>Afficher les données dans des tableaux Bootstrap</t>
  </si>
  <si>
    <t>Validation</t>
  </si>
  <si>
    <t>Formulaires</t>
  </si>
  <si>
    <t>Validation des formulaires côté client et serveur</t>
  </si>
  <si>
    <t>AJAX</t>
  </si>
  <si>
    <t>Interactions</t>
  </si>
  <si>
    <t>Implémenter les appels AJAX pour interactions dynamiques</t>
  </si>
  <si>
    <t>Tests</t>
  </si>
  <si>
    <t>Fonctionnels</t>
  </si>
  <si>
    <t>Tests saisie</t>
  </si>
  <si>
    <t>Tester la saisie des besoins et dons</t>
  </si>
  <si>
    <t>Test</t>
  </si>
  <si>
    <t>Tests dispatch</t>
  </si>
  <si>
    <t>Tester l'algorithme de dispatch</t>
  </si>
  <si>
    <t>Tests affichage</t>
  </si>
  <si>
    <t>Tester l'affichage des résultats</t>
  </si>
  <si>
    <t>Intégration</t>
  </si>
  <si>
    <t>Tests complets</t>
  </si>
  <si>
    <t>Tests end-to-end de l'application</t>
  </si>
  <si>
    <t>Debug</t>
  </si>
  <si>
    <t>Débogage</t>
  </si>
  <si>
    <t>Corriger les bugs identifiés</t>
  </si>
  <si>
    <t>Documentation</t>
  </si>
  <si>
    <t>README</t>
  </si>
  <si>
    <t>README.md</t>
  </si>
  <si>
    <t>Rédiger le README du projet</t>
  </si>
  <si>
    <t>Commentaires</t>
  </si>
  <si>
    <t>Commenter le code important</t>
  </si>
  <si>
    <t>Base</t>
  </si>
  <si>
    <t>Schéma BD</t>
  </si>
  <si>
    <t>Documenter le schéma de base de données</t>
  </si>
  <si>
    <t>User Guide</t>
  </si>
  <si>
    <t>Guide utilisateur</t>
  </si>
  <si>
    <t>Créer le guide utilisateur</t>
  </si>
  <si>
    <t>Finalisation</t>
  </si>
  <si>
    <t>Design</t>
  </si>
  <si>
    <t>CSS Custom</t>
  </si>
  <si>
    <t>Ajuster le design avec CSS personnalisé</t>
  </si>
  <si>
    <t>CSS</t>
  </si>
  <si>
    <t>Responsive</t>
  </si>
  <si>
    <t>Vérifier la compatibilité mobile</t>
  </si>
  <si>
    <t>Review</t>
  </si>
  <si>
    <t>Code Review</t>
  </si>
  <si>
    <t>Revoir et nettoyer le code</t>
  </si>
  <si>
    <t>Révision</t>
  </si>
  <si>
    <t>Deployment</t>
  </si>
  <si>
    <t>Préparation</t>
  </si>
  <si>
    <t>Préparer pour la présentation</t>
  </si>
  <si>
    <t>Estimation total</t>
  </si>
  <si>
    <t>Total heures</t>
  </si>
  <si>
    <t>Dépassement</t>
  </si>
  <si>
    <t>Total</t>
  </si>
  <si>
    <t>16/02</t>
  </si>
  <si>
    <t>17/02</t>
  </si>
  <si>
    <t>Pourcentage</t>
  </si>
  <si>
    <t>Avancement global</t>
  </si>
  <si>
    <t>Heures</t>
  </si>
  <si>
    <t>Tous (partagé)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</si>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</sst>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b/>
      <sz val="12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FFC7CE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FF6B6B"/>
        <bgColor rgb="FFFF6600"/>
      </patternFill>
    </fill>
    <fill>
      <patternFill patternType="solid">
        <fgColor rgb="FFF2F2F2"/>
        <bgColor rgb="FFE2EFDA"/>
      </patternFill>
    </fill>
    <fill>
      <patternFill patternType="solid">
        <fgColor rgb="FFFFD93D"/>
        <bgColor rgb="FFFFFF00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2F2F2"/>
      </patternFill>
    </fill>
    <fill>
      <patternFill patternType="solid">
        <fgColor rgb="FF95E1D3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9" fontId="0" fillId="3" borderId="1" xfId="0" applyNumberForma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2" fillId="0" borderId="0" xfId="0" applyFont="1"/>
    <xf numFmtId="10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5E1D3"/>
      <rgbColor rgb="FFFF99CC"/>
      <rgbColor rgb="FFCC99FF"/>
      <rgbColor rgb="FFFFC7CE"/>
      <rgbColor rgb="FF3366FF"/>
      <rgbColor rgb="FF33CCCC"/>
      <rgbColor rgb="FF99CC00"/>
      <rgbColor rgb="FFFFD93D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6328125" defaultRowHeight="14.5" x14ac:dyDescent="0.35"/>
  <cols>
    <col min="1" max="1" width="8" customWidth="1"/>
    <col min="2" max="2" width="12" customWidth="1"/>
    <col min="3" max="3" width="15" customWidth="1"/>
    <col min="4" max="4" width="20" customWidth="1"/>
    <col min="5" max="5" width="35" customWidth="1"/>
    <col min="6" max="6" width="18" customWidth="1"/>
    <col min="7" max="9" width="15" customWidth="1"/>
    <col min="10" max="13" width="12" customWidth="1"/>
  </cols>
  <sheetData>
    <row r="1" spans="1:13" ht="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1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4">
        <v>15</v>
      </c>
      <c r="H2" s="4">
        <v>0</v>
      </c>
      <c r="I2" s="4">
        <v>15</v>
      </c>
      <c r="J2" s="5">
        <f t="shared" ref="J2:J33" si="0">IF(G2&gt;0,H2/G2,0)</f>
        <v>0</v>
      </c>
      <c r="K2" s="6" t="s">
        <v>18</v>
      </c>
      <c r="L2" s="2" t="s">
        <v>19</v>
      </c>
      <c r="M2" s="7" t="s">
        <v>20</v>
      </c>
    </row>
    <row r="3" spans="1:13" x14ac:dyDescent="0.35">
      <c r="A3" s="2">
        <v>2</v>
      </c>
      <c r="B3" s="3" t="s">
        <v>13</v>
      </c>
      <c r="C3" s="3" t="s">
        <v>14</v>
      </c>
      <c r="D3" s="3" t="s">
        <v>21</v>
      </c>
      <c r="E3" s="3" t="s">
        <v>22</v>
      </c>
      <c r="F3" s="3" t="s">
        <v>17</v>
      </c>
      <c r="G3" s="4">
        <v>20</v>
      </c>
      <c r="H3" s="4">
        <v>0</v>
      </c>
      <c r="I3" s="4">
        <v>20</v>
      </c>
      <c r="J3" s="5">
        <f t="shared" si="0"/>
        <v>0</v>
      </c>
      <c r="K3" s="8" t="s">
        <v>23</v>
      </c>
      <c r="L3" s="2" t="s">
        <v>19</v>
      </c>
      <c r="M3" s="7" t="s">
        <v>20</v>
      </c>
    </row>
    <row r="4" spans="1:13" x14ac:dyDescent="0.35">
      <c r="A4" s="2">
        <v>3</v>
      </c>
      <c r="B4" s="3" t="s">
        <v>13</v>
      </c>
      <c r="C4" s="3" t="s">
        <v>14</v>
      </c>
      <c r="D4" s="3" t="s">
        <v>24</v>
      </c>
      <c r="E4" s="3" t="s">
        <v>25</v>
      </c>
      <c r="F4" s="3" t="s">
        <v>17</v>
      </c>
      <c r="G4" s="4">
        <v>10</v>
      </c>
      <c r="H4" s="4">
        <v>0</v>
      </c>
      <c r="I4" s="4">
        <v>10</v>
      </c>
      <c r="J4" s="5">
        <f t="shared" si="0"/>
        <v>0</v>
      </c>
      <c r="K4" s="6" t="s">
        <v>18</v>
      </c>
      <c r="L4" s="2" t="s">
        <v>19</v>
      </c>
      <c r="M4" s="9" t="s">
        <v>26</v>
      </c>
    </row>
    <row r="5" spans="1:13" x14ac:dyDescent="0.35">
      <c r="A5" s="2">
        <v>4</v>
      </c>
      <c r="B5" s="3" t="s">
        <v>13</v>
      </c>
      <c r="C5" s="3" t="s">
        <v>27</v>
      </c>
      <c r="D5" s="3" t="s">
        <v>28</v>
      </c>
      <c r="E5" s="3" t="s">
        <v>29</v>
      </c>
      <c r="F5" s="3" t="s">
        <v>30</v>
      </c>
      <c r="G5" s="4">
        <v>30</v>
      </c>
      <c r="H5" s="4">
        <v>0</v>
      </c>
      <c r="I5" s="4">
        <v>30</v>
      </c>
      <c r="J5" s="5">
        <f t="shared" si="0"/>
        <v>0</v>
      </c>
      <c r="K5" s="8" t="s">
        <v>23</v>
      </c>
      <c r="L5" s="2" t="s">
        <v>19</v>
      </c>
      <c r="M5" s="7" t="s">
        <v>20</v>
      </c>
    </row>
    <row r="6" spans="1:13" x14ac:dyDescent="0.35">
      <c r="A6" s="2">
        <v>5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  <c r="G6" s="4">
        <v>45</v>
      </c>
      <c r="H6" s="4">
        <v>0</v>
      </c>
      <c r="I6" s="4">
        <v>45</v>
      </c>
      <c r="J6" s="5">
        <f t="shared" si="0"/>
        <v>0</v>
      </c>
      <c r="K6" s="6" t="s">
        <v>18</v>
      </c>
      <c r="L6" s="2" t="s">
        <v>19</v>
      </c>
      <c r="M6" s="7" t="s">
        <v>20</v>
      </c>
    </row>
    <row r="7" spans="1:13" x14ac:dyDescent="0.35">
      <c r="A7" s="2">
        <v>6</v>
      </c>
      <c r="B7" s="3" t="s">
        <v>31</v>
      </c>
      <c r="C7" s="3" t="s">
        <v>32</v>
      </c>
      <c r="D7" s="3" t="s">
        <v>36</v>
      </c>
      <c r="E7" s="3" t="s">
        <v>37</v>
      </c>
      <c r="F7" s="3" t="s">
        <v>35</v>
      </c>
      <c r="G7" s="4">
        <v>60</v>
      </c>
      <c r="H7" s="4">
        <v>0</v>
      </c>
      <c r="I7" s="4">
        <v>60</v>
      </c>
      <c r="J7" s="5">
        <f t="shared" si="0"/>
        <v>0</v>
      </c>
      <c r="K7" s="6" t="s">
        <v>18</v>
      </c>
      <c r="L7" s="2" t="s">
        <v>19</v>
      </c>
      <c r="M7" s="7" t="s">
        <v>20</v>
      </c>
    </row>
    <row r="8" spans="1:13" x14ac:dyDescent="0.35">
      <c r="A8" s="2">
        <v>7</v>
      </c>
      <c r="B8" s="3" t="s">
        <v>31</v>
      </c>
      <c r="C8" s="3" t="s">
        <v>32</v>
      </c>
      <c r="D8" s="3" t="s">
        <v>38</v>
      </c>
      <c r="E8" s="3" t="s">
        <v>39</v>
      </c>
      <c r="F8" s="3" t="s">
        <v>35</v>
      </c>
      <c r="G8" s="4">
        <v>40</v>
      </c>
      <c r="H8" s="4">
        <v>0</v>
      </c>
      <c r="I8" s="4">
        <v>40</v>
      </c>
      <c r="J8" s="5">
        <f t="shared" si="0"/>
        <v>0</v>
      </c>
      <c r="K8" s="6" t="s">
        <v>18</v>
      </c>
      <c r="L8" s="2" t="s">
        <v>19</v>
      </c>
      <c r="M8" s="9" t="s">
        <v>26</v>
      </c>
    </row>
    <row r="9" spans="1:13" x14ac:dyDescent="0.35">
      <c r="A9" s="2">
        <v>8</v>
      </c>
      <c r="B9" s="3" t="s">
        <v>31</v>
      </c>
      <c r="C9" s="3" t="s">
        <v>32</v>
      </c>
      <c r="D9" s="3" t="s">
        <v>40</v>
      </c>
      <c r="E9" s="3" t="s">
        <v>41</v>
      </c>
      <c r="F9" s="3" t="s">
        <v>35</v>
      </c>
      <c r="G9" s="4">
        <v>50</v>
      </c>
      <c r="H9" s="4">
        <v>0</v>
      </c>
      <c r="I9" s="4">
        <v>50</v>
      </c>
      <c r="J9" s="5">
        <f t="shared" si="0"/>
        <v>0</v>
      </c>
      <c r="K9" s="6" t="s">
        <v>18</v>
      </c>
      <c r="L9" s="2" t="s">
        <v>19</v>
      </c>
      <c r="M9" s="9" t="s">
        <v>26</v>
      </c>
    </row>
    <row r="10" spans="1:13" x14ac:dyDescent="0.35">
      <c r="A10" s="2">
        <v>9</v>
      </c>
      <c r="B10" s="3" t="s">
        <v>31</v>
      </c>
      <c r="C10" s="3" t="s">
        <v>32</v>
      </c>
      <c r="D10" s="3" t="s">
        <v>42</v>
      </c>
      <c r="E10" s="3" t="s">
        <v>43</v>
      </c>
      <c r="F10" s="3" t="s">
        <v>35</v>
      </c>
      <c r="G10" s="4">
        <v>50</v>
      </c>
      <c r="H10" s="4">
        <v>0</v>
      </c>
      <c r="I10" s="4">
        <v>50</v>
      </c>
      <c r="J10" s="5">
        <f t="shared" si="0"/>
        <v>0</v>
      </c>
      <c r="K10" s="6" t="s">
        <v>18</v>
      </c>
      <c r="L10" s="2" t="s">
        <v>19</v>
      </c>
      <c r="M10" s="9" t="s">
        <v>26</v>
      </c>
    </row>
    <row r="11" spans="1:13" x14ac:dyDescent="0.35">
      <c r="A11" s="2">
        <v>10</v>
      </c>
      <c r="B11" s="3" t="s">
        <v>31</v>
      </c>
      <c r="C11" s="3" t="s">
        <v>32</v>
      </c>
      <c r="D11" s="3" t="s">
        <v>44</v>
      </c>
      <c r="E11" s="3" t="s">
        <v>45</v>
      </c>
      <c r="F11" s="3" t="s">
        <v>35</v>
      </c>
      <c r="G11" s="4">
        <v>30</v>
      </c>
      <c r="H11" s="4">
        <v>0</v>
      </c>
      <c r="I11" s="4">
        <v>30</v>
      </c>
      <c r="J11" s="5">
        <f t="shared" si="0"/>
        <v>0</v>
      </c>
      <c r="K11" s="10" t="s">
        <v>46</v>
      </c>
      <c r="L11" s="2" t="s">
        <v>19</v>
      </c>
      <c r="M11" s="9" t="s">
        <v>26</v>
      </c>
    </row>
    <row r="12" spans="1:13" x14ac:dyDescent="0.35">
      <c r="A12" s="2">
        <v>11</v>
      </c>
      <c r="B12" s="3" t="s">
        <v>47</v>
      </c>
      <c r="C12" s="3" t="s">
        <v>48</v>
      </c>
      <c r="D12" s="3" t="s">
        <v>49</v>
      </c>
      <c r="E12" s="3" t="s">
        <v>50</v>
      </c>
      <c r="F12" s="3" t="s">
        <v>14</v>
      </c>
      <c r="G12" s="4">
        <v>15</v>
      </c>
      <c r="H12" s="4">
        <v>0</v>
      </c>
      <c r="I12" s="4">
        <v>15</v>
      </c>
      <c r="J12" s="5">
        <f t="shared" si="0"/>
        <v>0</v>
      </c>
      <c r="K12" s="6" t="s">
        <v>18</v>
      </c>
      <c r="L12" s="2" t="s">
        <v>19</v>
      </c>
      <c r="M12" s="7" t="s">
        <v>20</v>
      </c>
    </row>
    <row r="13" spans="1:13" x14ac:dyDescent="0.35">
      <c r="A13" s="2">
        <v>12</v>
      </c>
      <c r="B13" s="3" t="s">
        <v>47</v>
      </c>
      <c r="C13" s="3" t="s">
        <v>48</v>
      </c>
      <c r="D13" s="3" t="s">
        <v>51</v>
      </c>
      <c r="E13" s="3" t="s">
        <v>52</v>
      </c>
      <c r="F13" s="3" t="s">
        <v>53</v>
      </c>
      <c r="G13" s="4">
        <v>30</v>
      </c>
      <c r="H13" s="4">
        <v>0</v>
      </c>
      <c r="I13" s="4">
        <v>30</v>
      </c>
      <c r="J13" s="5">
        <f t="shared" si="0"/>
        <v>0</v>
      </c>
      <c r="K13" s="6" t="s">
        <v>18</v>
      </c>
      <c r="L13" s="2" t="s">
        <v>19</v>
      </c>
      <c r="M13" s="7" t="s">
        <v>20</v>
      </c>
    </row>
    <row r="14" spans="1:13" x14ac:dyDescent="0.35">
      <c r="A14" s="2">
        <v>13</v>
      </c>
      <c r="B14" s="3" t="s">
        <v>47</v>
      </c>
      <c r="C14" s="3" t="s">
        <v>48</v>
      </c>
      <c r="D14" s="3" t="s">
        <v>54</v>
      </c>
      <c r="E14" s="3" t="s">
        <v>55</v>
      </c>
      <c r="F14" s="3" t="s">
        <v>17</v>
      </c>
      <c r="G14" s="4">
        <v>20</v>
      </c>
      <c r="H14" s="4">
        <v>0</v>
      </c>
      <c r="I14" s="4">
        <v>20</v>
      </c>
      <c r="J14" s="5">
        <f t="shared" si="0"/>
        <v>0</v>
      </c>
      <c r="K14" s="6" t="s">
        <v>18</v>
      </c>
      <c r="L14" s="2" t="s">
        <v>19</v>
      </c>
      <c r="M14" s="7" t="s">
        <v>20</v>
      </c>
    </row>
    <row r="15" spans="1:13" x14ac:dyDescent="0.35">
      <c r="A15" s="2">
        <v>14</v>
      </c>
      <c r="B15" s="3" t="s">
        <v>47</v>
      </c>
      <c r="C15" s="3" t="s">
        <v>48</v>
      </c>
      <c r="D15" s="3" t="s">
        <v>56</v>
      </c>
      <c r="E15" s="3" t="s">
        <v>57</v>
      </c>
      <c r="F15" s="3" t="s">
        <v>58</v>
      </c>
      <c r="G15" s="4">
        <v>40</v>
      </c>
      <c r="H15" s="4">
        <v>0</v>
      </c>
      <c r="I15" s="4">
        <v>40</v>
      </c>
      <c r="J15" s="5">
        <f t="shared" si="0"/>
        <v>0</v>
      </c>
      <c r="K15" s="6" t="s">
        <v>18</v>
      </c>
      <c r="L15" s="2" t="s">
        <v>19</v>
      </c>
      <c r="M15" s="7" t="s">
        <v>20</v>
      </c>
    </row>
    <row r="16" spans="1:13" x14ac:dyDescent="0.35">
      <c r="A16" s="2">
        <v>15</v>
      </c>
      <c r="B16" s="3" t="s">
        <v>47</v>
      </c>
      <c r="C16" s="3" t="s">
        <v>59</v>
      </c>
      <c r="D16" s="3" t="s">
        <v>60</v>
      </c>
      <c r="E16" s="3" t="s">
        <v>61</v>
      </c>
      <c r="F16" s="3" t="s">
        <v>58</v>
      </c>
      <c r="G16" s="4">
        <v>25</v>
      </c>
      <c r="H16" s="4">
        <v>0</v>
      </c>
      <c r="I16" s="4">
        <v>25</v>
      </c>
      <c r="J16" s="5">
        <f t="shared" si="0"/>
        <v>0</v>
      </c>
      <c r="K16" s="6" t="s">
        <v>18</v>
      </c>
      <c r="L16" s="2" t="s">
        <v>19</v>
      </c>
      <c r="M16" s="7" t="s">
        <v>20</v>
      </c>
    </row>
    <row r="17" spans="1:13" x14ac:dyDescent="0.35">
      <c r="A17" s="2">
        <v>16</v>
      </c>
      <c r="B17" s="3" t="s">
        <v>47</v>
      </c>
      <c r="C17" s="3" t="s">
        <v>59</v>
      </c>
      <c r="D17" s="3" t="s">
        <v>62</v>
      </c>
      <c r="E17" s="3" t="s">
        <v>63</v>
      </c>
      <c r="F17" s="3" t="s">
        <v>58</v>
      </c>
      <c r="G17" s="4">
        <v>30</v>
      </c>
      <c r="H17" s="4">
        <v>0</v>
      </c>
      <c r="I17" s="4">
        <v>30</v>
      </c>
      <c r="J17" s="5">
        <f t="shared" si="0"/>
        <v>0</v>
      </c>
      <c r="K17" s="6" t="s">
        <v>18</v>
      </c>
      <c r="L17" s="2" t="s">
        <v>19</v>
      </c>
      <c r="M17" s="7" t="s">
        <v>20</v>
      </c>
    </row>
    <row r="18" spans="1:13" x14ac:dyDescent="0.35">
      <c r="A18" s="2">
        <v>17</v>
      </c>
      <c r="B18" s="3" t="s">
        <v>47</v>
      </c>
      <c r="C18" s="3" t="s">
        <v>59</v>
      </c>
      <c r="D18" s="3" t="s">
        <v>64</v>
      </c>
      <c r="E18" s="3" t="s">
        <v>65</v>
      </c>
      <c r="F18" s="3" t="s">
        <v>58</v>
      </c>
      <c r="G18" s="4">
        <v>30</v>
      </c>
      <c r="H18" s="4">
        <v>0</v>
      </c>
      <c r="I18" s="4">
        <v>30</v>
      </c>
      <c r="J18" s="5">
        <f t="shared" si="0"/>
        <v>0</v>
      </c>
      <c r="K18" s="6" t="s">
        <v>18</v>
      </c>
      <c r="L18" s="2" t="s">
        <v>19</v>
      </c>
      <c r="M18" s="7" t="s">
        <v>20</v>
      </c>
    </row>
    <row r="19" spans="1:13" x14ac:dyDescent="0.35">
      <c r="A19" s="2">
        <v>18</v>
      </c>
      <c r="B19" s="3" t="s">
        <v>47</v>
      </c>
      <c r="C19" s="3" t="s">
        <v>59</v>
      </c>
      <c r="D19" s="3" t="s">
        <v>66</v>
      </c>
      <c r="E19" s="3" t="s">
        <v>67</v>
      </c>
      <c r="F19" s="3" t="s">
        <v>58</v>
      </c>
      <c r="G19" s="4">
        <v>25</v>
      </c>
      <c r="H19" s="4">
        <v>0</v>
      </c>
      <c r="I19" s="4">
        <v>25</v>
      </c>
      <c r="J19" s="5">
        <f t="shared" si="0"/>
        <v>0</v>
      </c>
      <c r="K19" s="6" t="s">
        <v>18</v>
      </c>
      <c r="L19" s="2" t="s">
        <v>19</v>
      </c>
      <c r="M19" s="7" t="s">
        <v>20</v>
      </c>
    </row>
    <row r="20" spans="1:13" x14ac:dyDescent="0.35">
      <c r="A20" s="2">
        <v>19</v>
      </c>
      <c r="B20" s="3" t="s">
        <v>47</v>
      </c>
      <c r="C20" s="3" t="s">
        <v>68</v>
      </c>
      <c r="D20" s="3" t="s">
        <v>69</v>
      </c>
      <c r="E20" s="3" t="s">
        <v>70</v>
      </c>
      <c r="F20" s="3" t="s">
        <v>58</v>
      </c>
      <c r="G20" s="4">
        <v>45</v>
      </c>
      <c r="H20" s="4">
        <v>0</v>
      </c>
      <c r="I20" s="4">
        <v>45</v>
      </c>
      <c r="J20" s="5">
        <f t="shared" si="0"/>
        <v>0</v>
      </c>
      <c r="K20" s="6" t="s">
        <v>18</v>
      </c>
      <c r="L20" s="2" t="s">
        <v>19</v>
      </c>
      <c r="M20" s="7" t="s">
        <v>20</v>
      </c>
    </row>
    <row r="21" spans="1:13" x14ac:dyDescent="0.35">
      <c r="A21" s="2">
        <v>20</v>
      </c>
      <c r="B21" s="3" t="s">
        <v>47</v>
      </c>
      <c r="C21" s="3" t="s">
        <v>68</v>
      </c>
      <c r="D21" s="3" t="s">
        <v>71</v>
      </c>
      <c r="E21" s="3" t="s">
        <v>72</v>
      </c>
      <c r="F21" s="3" t="s">
        <v>58</v>
      </c>
      <c r="G21" s="4">
        <v>50</v>
      </c>
      <c r="H21" s="4">
        <v>0</v>
      </c>
      <c r="I21" s="4">
        <v>50</v>
      </c>
      <c r="J21" s="5">
        <f t="shared" si="0"/>
        <v>0</v>
      </c>
      <c r="K21" s="6" t="s">
        <v>18</v>
      </c>
      <c r="L21" s="2" t="s">
        <v>19</v>
      </c>
      <c r="M21" s="7" t="s">
        <v>20</v>
      </c>
    </row>
    <row r="22" spans="1:13" x14ac:dyDescent="0.35">
      <c r="A22" s="2">
        <v>21</v>
      </c>
      <c r="B22" s="3" t="s">
        <v>47</v>
      </c>
      <c r="C22" s="3" t="s">
        <v>68</v>
      </c>
      <c r="D22" s="3" t="s">
        <v>73</v>
      </c>
      <c r="E22" s="3" t="s">
        <v>74</v>
      </c>
      <c r="F22" s="3" t="s">
        <v>58</v>
      </c>
      <c r="G22" s="4">
        <v>50</v>
      </c>
      <c r="H22" s="4">
        <v>0</v>
      </c>
      <c r="I22" s="4">
        <v>50</v>
      </c>
      <c r="J22" s="5">
        <f t="shared" si="0"/>
        <v>0</v>
      </c>
      <c r="K22" s="10" t="s">
        <v>46</v>
      </c>
      <c r="L22" s="2" t="s">
        <v>19</v>
      </c>
      <c r="M22" s="7" t="s">
        <v>20</v>
      </c>
    </row>
    <row r="23" spans="1:13" x14ac:dyDescent="0.35">
      <c r="A23" s="2">
        <v>22</v>
      </c>
      <c r="B23" s="3" t="s">
        <v>47</v>
      </c>
      <c r="C23" s="3" t="s">
        <v>68</v>
      </c>
      <c r="D23" s="3" t="s">
        <v>75</v>
      </c>
      <c r="E23" s="3" t="s">
        <v>76</v>
      </c>
      <c r="F23" s="3" t="s">
        <v>58</v>
      </c>
      <c r="G23" s="4">
        <v>60</v>
      </c>
      <c r="H23" s="4">
        <v>0</v>
      </c>
      <c r="I23" s="4">
        <v>60</v>
      </c>
      <c r="J23" s="5">
        <f t="shared" si="0"/>
        <v>0</v>
      </c>
      <c r="K23" s="10" t="s">
        <v>46</v>
      </c>
      <c r="L23" s="2" t="s">
        <v>19</v>
      </c>
      <c r="M23" s="7" t="s">
        <v>20</v>
      </c>
    </row>
    <row r="24" spans="1:13" x14ac:dyDescent="0.35">
      <c r="A24" s="2">
        <v>23</v>
      </c>
      <c r="B24" s="3" t="s">
        <v>77</v>
      </c>
      <c r="C24" s="3" t="s">
        <v>14</v>
      </c>
      <c r="D24" s="3" t="s">
        <v>78</v>
      </c>
      <c r="E24" s="3" t="s">
        <v>79</v>
      </c>
      <c r="F24" s="3" t="s">
        <v>17</v>
      </c>
      <c r="G24" s="4">
        <v>15</v>
      </c>
      <c r="H24" s="4">
        <v>0</v>
      </c>
      <c r="I24" s="4">
        <v>15</v>
      </c>
      <c r="J24" s="5">
        <f t="shared" si="0"/>
        <v>0</v>
      </c>
      <c r="K24" s="11" t="s">
        <v>80</v>
      </c>
      <c r="L24" s="2" t="s">
        <v>19</v>
      </c>
      <c r="M24" s="7" t="s">
        <v>20</v>
      </c>
    </row>
    <row r="25" spans="1:13" x14ac:dyDescent="0.35">
      <c r="A25" s="2">
        <v>24</v>
      </c>
      <c r="B25" s="3" t="s">
        <v>77</v>
      </c>
      <c r="C25" s="3" t="s">
        <v>81</v>
      </c>
      <c r="D25" s="3" t="s">
        <v>82</v>
      </c>
      <c r="E25" s="3" t="s">
        <v>83</v>
      </c>
      <c r="F25" s="3" t="s">
        <v>84</v>
      </c>
      <c r="G25" s="4">
        <v>40</v>
      </c>
      <c r="H25" s="4">
        <v>0</v>
      </c>
      <c r="I25" s="4">
        <v>40</v>
      </c>
      <c r="J25" s="5">
        <f t="shared" si="0"/>
        <v>0</v>
      </c>
      <c r="K25" s="11" t="s">
        <v>80</v>
      </c>
      <c r="L25" s="2" t="s">
        <v>19</v>
      </c>
      <c r="M25" s="7" t="s">
        <v>20</v>
      </c>
    </row>
    <row r="26" spans="1:13" x14ac:dyDescent="0.35">
      <c r="A26" s="2">
        <v>25</v>
      </c>
      <c r="B26" s="3" t="s">
        <v>77</v>
      </c>
      <c r="C26" s="3" t="s">
        <v>81</v>
      </c>
      <c r="D26" s="3" t="s">
        <v>85</v>
      </c>
      <c r="E26" s="3" t="s">
        <v>86</v>
      </c>
      <c r="F26" s="3" t="s">
        <v>84</v>
      </c>
      <c r="G26" s="4">
        <v>30</v>
      </c>
      <c r="H26" s="4">
        <v>0</v>
      </c>
      <c r="I26" s="4">
        <v>30</v>
      </c>
      <c r="J26" s="5">
        <f t="shared" si="0"/>
        <v>0</v>
      </c>
      <c r="K26" s="11" t="s">
        <v>80</v>
      </c>
      <c r="L26" s="2" t="s">
        <v>19</v>
      </c>
      <c r="M26" s="9" t="s">
        <v>26</v>
      </c>
    </row>
    <row r="27" spans="1:13" x14ac:dyDescent="0.35">
      <c r="A27" s="2">
        <v>26</v>
      </c>
      <c r="B27" s="3" t="s">
        <v>77</v>
      </c>
      <c r="C27" s="3" t="s">
        <v>81</v>
      </c>
      <c r="D27" s="3" t="s">
        <v>87</v>
      </c>
      <c r="E27" s="3" t="s">
        <v>88</v>
      </c>
      <c r="F27" s="3" t="s">
        <v>84</v>
      </c>
      <c r="G27" s="4">
        <v>20</v>
      </c>
      <c r="H27" s="4">
        <v>0</v>
      </c>
      <c r="I27" s="4">
        <v>20</v>
      </c>
      <c r="J27" s="5">
        <f t="shared" si="0"/>
        <v>0</v>
      </c>
      <c r="K27" s="11" t="s">
        <v>80</v>
      </c>
      <c r="L27" s="2" t="s">
        <v>19</v>
      </c>
      <c r="M27" s="12" t="s">
        <v>89</v>
      </c>
    </row>
    <row r="28" spans="1:13" x14ac:dyDescent="0.35">
      <c r="A28" s="2">
        <v>27</v>
      </c>
      <c r="B28" s="3" t="s">
        <v>77</v>
      </c>
      <c r="C28" s="3" t="s">
        <v>90</v>
      </c>
      <c r="D28" s="3" t="s">
        <v>91</v>
      </c>
      <c r="E28" s="3" t="s">
        <v>92</v>
      </c>
      <c r="F28" s="3" t="s">
        <v>93</v>
      </c>
      <c r="G28" s="4">
        <v>90</v>
      </c>
      <c r="H28" s="4">
        <v>0</v>
      </c>
      <c r="I28" s="4">
        <v>90</v>
      </c>
      <c r="J28" s="5">
        <f t="shared" si="0"/>
        <v>0</v>
      </c>
      <c r="K28" s="11" t="s">
        <v>80</v>
      </c>
      <c r="L28" s="2" t="s">
        <v>19</v>
      </c>
      <c r="M28" s="7" t="s">
        <v>20</v>
      </c>
    </row>
    <row r="29" spans="1:13" x14ac:dyDescent="0.35">
      <c r="A29" s="2">
        <v>28</v>
      </c>
      <c r="B29" s="3" t="s">
        <v>77</v>
      </c>
      <c r="C29" s="3" t="s">
        <v>90</v>
      </c>
      <c r="D29" s="3" t="s">
        <v>94</v>
      </c>
      <c r="E29" s="3" t="s">
        <v>95</v>
      </c>
      <c r="F29" s="3" t="s">
        <v>93</v>
      </c>
      <c r="G29" s="4">
        <v>60</v>
      </c>
      <c r="H29" s="4">
        <v>0</v>
      </c>
      <c r="I29" s="4">
        <v>60</v>
      </c>
      <c r="J29" s="5">
        <f t="shared" si="0"/>
        <v>0</v>
      </c>
      <c r="K29" s="11" t="s">
        <v>80</v>
      </c>
      <c r="L29" s="2" t="s">
        <v>19</v>
      </c>
      <c r="M29" s="7" t="s">
        <v>20</v>
      </c>
    </row>
    <row r="30" spans="1:13" x14ac:dyDescent="0.35">
      <c r="A30" s="2">
        <v>29</v>
      </c>
      <c r="B30" s="3" t="s">
        <v>77</v>
      </c>
      <c r="C30" s="3" t="s">
        <v>90</v>
      </c>
      <c r="D30" s="3" t="s">
        <v>96</v>
      </c>
      <c r="E30" s="3" t="s">
        <v>97</v>
      </c>
      <c r="F30" s="3" t="s">
        <v>93</v>
      </c>
      <c r="G30" s="4">
        <v>60</v>
      </c>
      <c r="H30" s="4">
        <v>0</v>
      </c>
      <c r="I30" s="4">
        <v>60</v>
      </c>
      <c r="J30" s="5">
        <f t="shared" si="0"/>
        <v>0</v>
      </c>
      <c r="K30" s="11" t="s">
        <v>80</v>
      </c>
      <c r="L30" s="2" t="s">
        <v>19</v>
      </c>
      <c r="M30" s="7" t="s">
        <v>20</v>
      </c>
    </row>
    <row r="31" spans="1:13" x14ac:dyDescent="0.35">
      <c r="A31" s="2">
        <v>30</v>
      </c>
      <c r="B31" s="3" t="s">
        <v>77</v>
      </c>
      <c r="C31" s="3" t="s">
        <v>90</v>
      </c>
      <c r="D31" s="3" t="s">
        <v>98</v>
      </c>
      <c r="E31" s="3" t="s">
        <v>99</v>
      </c>
      <c r="F31" s="3" t="s">
        <v>93</v>
      </c>
      <c r="G31" s="4">
        <v>70</v>
      </c>
      <c r="H31" s="4">
        <v>0</v>
      </c>
      <c r="I31" s="4">
        <v>70</v>
      </c>
      <c r="J31" s="5">
        <f t="shared" si="0"/>
        <v>0</v>
      </c>
      <c r="K31" s="11" t="s">
        <v>80</v>
      </c>
      <c r="L31" s="2" t="s">
        <v>19</v>
      </c>
      <c r="M31" s="7" t="s">
        <v>20</v>
      </c>
    </row>
    <row r="32" spans="1:13" x14ac:dyDescent="0.35">
      <c r="A32" s="2">
        <v>31</v>
      </c>
      <c r="B32" s="3" t="s">
        <v>77</v>
      </c>
      <c r="C32" s="3" t="s">
        <v>90</v>
      </c>
      <c r="D32" s="3" t="s">
        <v>100</v>
      </c>
      <c r="E32" s="3" t="s">
        <v>101</v>
      </c>
      <c r="F32" s="3" t="s">
        <v>93</v>
      </c>
      <c r="G32" s="4">
        <v>50</v>
      </c>
      <c r="H32" s="4">
        <v>0</v>
      </c>
      <c r="I32" s="4">
        <v>50</v>
      </c>
      <c r="J32" s="5">
        <f t="shared" si="0"/>
        <v>0</v>
      </c>
      <c r="K32" s="11" t="s">
        <v>80</v>
      </c>
      <c r="L32" s="2" t="s">
        <v>19</v>
      </c>
      <c r="M32" s="9" t="s">
        <v>26</v>
      </c>
    </row>
    <row r="33" spans="1:13" x14ac:dyDescent="0.35">
      <c r="A33" s="2">
        <v>32</v>
      </c>
      <c r="B33" s="3" t="s">
        <v>102</v>
      </c>
      <c r="C33" s="3" t="s">
        <v>103</v>
      </c>
      <c r="D33" s="3" t="s">
        <v>104</v>
      </c>
      <c r="E33" s="3" t="s">
        <v>105</v>
      </c>
      <c r="F33" s="3" t="s">
        <v>58</v>
      </c>
      <c r="G33" s="4">
        <v>90</v>
      </c>
      <c r="H33" s="4">
        <v>0</v>
      </c>
      <c r="I33" s="4">
        <v>90</v>
      </c>
      <c r="J33" s="5">
        <f t="shared" si="0"/>
        <v>0</v>
      </c>
      <c r="K33" s="6" t="s">
        <v>18</v>
      </c>
      <c r="L33" s="2" t="s">
        <v>19</v>
      </c>
      <c r="M33" s="7" t="s">
        <v>20</v>
      </c>
    </row>
    <row r="34" spans="1:13" x14ac:dyDescent="0.35">
      <c r="A34" s="2">
        <v>33</v>
      </c>
      <c r="B34" s="3" t="s">
        <v>102</v>
      </c>
      <c r="C34" s="3" t="s">
        <v>103</v>
      </c>
      <c r="D34" s="3" t="s">
        <v>106</v>
      </c>
      <c r="E34" s="3" t="s">
        <v>107</v>
      </c>
      <c r="F34" s="3" t="s">
        <v>58</v>
      </c>
      <c r="G34" s="4">
        <v>30</v>
      </c>
      <c r="H34" s="4">
        <v>0</v>
      </c>
      <c r="I34" s="4">
        <v>30</v>
      </c>
      <c r="J34" s="5">
        <f t="shared" ref="J34:J51" si="1">IF(G34&gt;0,H34/G34,0)</f>
        <v>0</v>
      </c>
      <c r="K34" s="6" t="s">
        <v>18</v>
      </c>
      <c r="L34" s="2" t="s">
        <v>19</v>
      </c>
      <c r="M34" s="7" t="s">
        <v>20</v>
      </c>
    </row>
    <row r="35" spans="1:13" x14ac:dyDescent="0.35">
      <c r="A35" s="2">
        <v>34</v>
      </c>
      <c r="B35" s="3" t="s">
        <v>102</v>
      </c>
      <c r="C35" s="3" t="s">
        <v>103</v>
      </c>
      <c r="D35" s="3" t="s">
        <v>108</v>
      </c>
      <c r="E35" s="3" t="s">
        <v>109</v>
      </c>
      <c r="F35" s="3" t="s">
        <v>58</v>
      </c>
      <c r="G35" s="4">
        <v>60</v>
      </c>
      <c r="H35" s="4">
        <v>0</v>
      </c>
      <c r="I35" s="4">
        <v>60</v>
      </c>
      <c r="J35" s="5">
        <f t="shared" si="1"/>
        <v>0</v>
      </c>
      <c r="K35" s="10" t="s">
        <v>46</v>
      </c>
      <c r="L35" s="2" t="s">
        <v>19</v>
      </c>
      <c r="M35" s="7" t="s">
        <v>20</v>
      </c>
    </row>
    <row r="36" spans="1:13" x14ac:dyDescent="0.35">
      <c r="A36" s="2">
        <v>35</v>
      </c>
      <c r="B36" s="3" t="s">
        <v>102</v>
      </c>
      <c r="C36" s="3" t="s">
        <v>110</v>
      </c>
      <c r="D36" s="3" t="s">
        <v>111</v>
      </c>
      <c r="E36" s="3" t="s">
        <v>112</v>
      </c>
      <c r="F36" s="3" t="s">
        <v>58</v>
      </c>
      <c r="G36" s="4">
        <v>40</v>
      </c>
      <c r="H36" s="4">
        <v>0</v>
      </c>
      <c r="I36" s="4">
        <v>40</v>
      </c>
      <c r="J36" s="5">
        <f t="shared" si="1"/>
        <v>0</v>
      </c>
      <c r="K36" s="11" t="s">
        <v>80</v>
      </c>
      <c r="L36" s="2" t="s">
        <v>19</v>
      </c>
      <c r="M36" s="9" t="s">
        <v>26</v>
      </c>
    </row>
    <row r="37" spans="1:13" x14ac:dyDescent="0.35">
      <c r="A37" s="2">
        <v>36</v>
      </c>
      <c r="B37" s="3" t="s">
        <v>102</v>
      </c>
      <c r="C37" s="3" t="s">
        <v>113</v>
      </c>
      <c r="D37" s="3" t="s">
        <v>114</v>
      </c>
      <c r="E37" s="3" t="s">
        <v>115</v>
      </c>
      <c r="F37" s="3" t="s">
        <v>58</v>
      </c>
      <c r="G37" s="4">
        <v>45</v>
      </c>
      <c r="H37" s="4">
        <v>0</v>
      </c>
      <c r="I37" s="4">
        <v>45</v>
      </c>
      <c r="J37" s="5">
        <f t="shared" si="1"/>
        <v>0</v>
      </c>
      <c r="K37" s="10" t="s">
        <v>46</v>
      </c>
      <c r="L37" s="2" t="s">
        <v>19</v>
      </c>
      <c r="M37" s="9" t="s">
        <v>26</v>
      </c>
    </row>
    <row r="38" spans="1:13" x14ac:dyDescent="0.35">
      <c r="A38" s="2">
        <v>37</v>
      </c>
      <c r="B38" s="3" t="s">
        <v>102</v>
      </c>
      <c r="C38" s="3" t="s">
        <v>116</v>
      </c>
      <c r="D38" s="3" t="s">
        <v>117</v>
      </c>
      <c r="E38" s="3" t="s">
        <v>118</v>
      </c>
      <c r="F38" s="3" t="s">
        <v>58</v>
      </c>
      <c r="G38" s="4">
        <v>50</v>
      </c>
      <c r="H38" s="4">
        <v>0</v>
      </c>
      <c r="I38" s="4">
        <v>50</v>
      </c>
      <c r="J38" s="5">
        <f t="shared" si="1"/>
        <v>0</v>
      </c>
      <c r="K38" s="10" t="s">
        <v>46</v>
      </c>
      <c r="L38" s="2" t="s">
        <v>19</v>
      </c>
      <c r="M38" s="9" t="s">
        <v>26</v>
      </c>
    </row>
    <row r="39" spans="1:13" x14ac:dyDescent="0.35">
      <c r="A39" s="2">
        <v>38</v>
      </c>
      <c r="B39" s="3" t="s">
        <v>119</v>
      </c>
      <c r="C39" s="3" t="s">
        <v>120</v>
      </c>
      <c r="D39" s="3" t="s">
        <v>121</v>
      </c>
      <c r="E39" s="3" t="s">
        <v>122</v>
      </c>
      <c r="F39" s="3" t="s">
        <v>123</v>
      </c>
      <c r="G39" s="4">
        <v>30</v>
      </c>
      <c r="H39" s="4">
        <v>0</v>
      </c>
      <c r="I39" s="4">
        <v>30</v>
      </c>
      <c r="J39" s="5">
        <f t="shared" si="1"/>
        <v>0</v>
      </c>
      <c r="K39" s="10" t="s">
        <v>46</v>
      </c>
      <c r="L39" s="2" t="s">
        <v>19</v>
      </c>
      <c r="M39" s="9" t="s">
        <v>26</v>
      </c>
    </row>
    <row r="40" spans="1:13" x14ac:dyDescent="0.35">
      <c r="A40" s="2">
        <v>39</v>
      </c>
      <c r="B40" s="3" t="s">
        <v>119</v>
      </c>
      <c r="C40" s="3" t="s">
        <v>120</v>
      </c>
      <c r="D40" s="3" t="s">
        <v>124</v>
      </c>
      <c r="E40" s="3" t="s">
        <v>125</v>
      </c>
      <c r="F40" s="3" t="s">
        <v>123</v>
      </c>
      <c r="G40" s="4">
        <v>40</v>
      </c>
      <c r="H40" s="4">
        <v>0</v>
      </c>
      <c r="I40" s="4">
        <v>40</v>
      </c>
      <c r="J40" s="5">
        <f t="shared" si="1"/>
        <v>0</v>
      </c>
      <c r="K40" s="10" t="s">
        <v>46</v>
      </c>
      <c r="L40" s="2" t="s">
        <v>19</v>
      </c>
      <c r="M40" s="7" t="s">
        <v>20</v>
      </c>
    </row>
    <row r="41" spans="1:13" x14ac:dyDescent="0.35">
      <c r="A41" s="2">
        <v>40</v>
      </c>
      <c r="B41" s="3" t="s">
        <v>119</v>
      </c>
      <c r="C41" s="3" t="s">
        <v>120</v>
      </c>
      <c r="D41" s="3" t="s">
        <v>126</v>
      </c>
      <c r="E41" s="3" t="s">
        <v>127</v>
      </c>
      <c r="F41" s="3" t="s">
        <v>123</v>
      </c>
      <c r="G41" s="4">
        <v>25</v>
      </c>
      <c r="H41" s="4">
        <v>0</v>
      </c>
      <c r="I41" s="4">
        <v>25</v>
      </c>
      <c r="J41" s="5">
        <f t="shared" si="1"/>
        <v>0</v>
      </c>
      <c r="K41" s="10" t="s">
        <v>46</v>
      </c>
      <c r="L41" s="2" t="s">
        <v>19</v>
      </c>
      <c r="M41" s="9" t="s">
        <v>26</v>
      </c>
    </row>
    <row r="42" spans="1:13" x14ac:dyDescent="0.35">
      <c r="A42" s="2">
        <v>41</v>
      </c>
      <c r="B42" s="3" t="s">
        <v>119</v>
      </c>
      <c r="C42" s="3" t="s">
        <v>128</v>
      </c>
      <c r="D42" s="3" t="s">
        <v>129</v>
      </c>
      <c r="E42" s="3" t="s">
        <v>130</v>
      </c>
      <c r="F42" s="3" t="s">
        <v>123</v>
      </c>
      <c r="G42" s="4">
        <v>50</v>
      </c>
      <c r="H42" s="4">
        <v>0</v>
      </c>
      <c r="I42" s="4">
        <v>50</v>
      </c>
      <c r="J42" s="5">
        <f t="shared" si="1"/>
        <v>0</v>
      </c>
      <c r="K42" s="10" t="s">
        <v>46</v>
      </c>
      <c r="L42" s="2" t="s">
        <v>19</v>
      </c>
      <c r="M42" s="7" t="s">
        <v>20</v>
      </c>
    </row>
    <row r="43" spans="1:13" x14ac:dyDescent="0.35">
      <c r="A43" s="2">
        <v>42</v>
      </c>
      <c r="B43" s="3" t="s">
        <v>119</v>
      </c>
      <c r="C43" s="3" t="s">
        <v>131</v>
      </c>
      <c r="D43" s="3" t="s">
        <v>132</v>
      </c>
      <c r="E43" s="3" t="s">
        <v>133</v>
      </c>
      <c r="F43" s="3" t="s">
        <v>131</v>
      </c>
      <c r="G43" s="4">
        <v>60</v>
      </c>
      <c r="H43" s="4">
        <v>0</v>
      </c>
      <c r="I43" s="4">
        <v>60</v>
      </c>
      <c r="J43" s="5">
        <f t="shared" si="1"/>
        <v>0</v>
      </c>
      <c r="K43" s="10" t="s">
        <v>46</v>
      </c>
      <c r="L43" s="2" t="s">
        <v>19</v>
      </c>
      <c r="M43" s="7" t="s">
        <v>20</v>
      </c>
    </row>
    <row r="44" spans="1:13" x14ac:dyDescent="0.35">
      <c r="A44" s="2">
        <v>43</v>
      </c>
      <c r="B44" s="3" t="s">
        <v>134</v>
      </c>
      <c r="C44" s="3" t="s">
        <v>135</v>
      </c>
      <c r="D44" s="3" t="s">
        <v>136</v>
      </c>
      <c r="E44" s="3" t="s">
        <v>137</v>
      </c>
      <c r="F44" s="3" t="s">
        <v>134</v>
      </c>
      <c r="G44" s="4">
        <v>30</v>
      </c>
      <c r="H44" s="4">
        <v>0</v>
      </c>
      <c r="I44" s="4">
        <v>30</v>
      </c>
      <c r="J44" s="5">
        <f t="shared" si="1"/>
        <v>0</v>
      </c>
      <c r="K44" s="10" t="s">
        <v>46</v>
      </c>
      <c r="L44" s="2" t="s">
        <v>19</v>
      </c>
      <c r="M44" s="9" t="s">
        <v>26</v>
      </c>
    </row>
    <row r="45" spans="1:13" x14ac:dyDescent="0.35">
      <c r="A45" s="2">
        <v>44</v>
      </c>
      <c r="B45" s="3" t="s">
        <v>134</v>
      </c>
      <c r="C45" s="3" t="s">
        <v>58</v>
      </c>
      <c r="D45" s="3" t="s">
        <v>138</v>
      </c>
      <c r="E45" s="3" t="s">
        <v>139</v>
      </c>
      <c r="F45" s="3" t="s">
        <v>134</v>
      </c>
      <c r="G45" s="4">
        <v>45</v>
      </c>
      <c r="H45" s="4">
        <v>0</v>
      </c>
      <c r="I45" s="4">
        <v>45</v>
      </c>
      <c r="J45" s="5">
        <f t="shared" si="1"/>
        <v>0</v>
      </c>
      <c r="K45" s="8" t="s">
        <v>23</v>
      </c>
      <c r="L45" s="2" t="s">
        <v>19</v>
      </c>
      <c r="M45" s="12" t="s">
        <v>89</v>
      </c>
    </row>
    <row r="46" spans="1:13" x14ac:dyDescent="0.35">
      <c r="A46" s="2">
        <v>45</v>
      </c>
      <c r="B46" s="3" t="s">
        <v>134</v>
      </c>
      <c r="C46" s="3" t="s">
        <v>140</v>
      </c>
      <c r="D46" s="3" t="s">
        <v>141</v>
      </c>
      <c r="E46" s="3" t="s">
        <v>142</v>
      </c>
      <c r="F46" s="3" t="s">
        <v>134</v>
      </c>
      <c r="G46" s="4">
        <v>25</v>
      </c>
      <c r="H46" s="4">
        <v>0</v>
      </c>
      <c r="I46" s="4">
        <v>25</v>
      </c>
      <c r="J46" s="5">
        <f t="shared" si="1"/>
        <v>0</v>
      </c>
      <c r="K46" s="6" t="s">
        <v>18</v>
      </c>
      <c r="L46" s="2" t="s">
        <v>19</v>
      </c>
      <c r="M46" s="9" t="s">
        <v>26</v>
      </c>
    </row>
    <row r="47" spans="1:13" x14ac:dyDescent="0.35">
      <c r="A47" s="2">
        <v>46</v>
      </c>
      <c r="B47" s="3" t="s">
        <v>134</v>
      </c>
      <c r="C47" s="3" t="s">
        <v>143</v>
      </c>
      <c r="D47" s="3" t="s">
        <v>144</v>
      </c>
      <c r="E47" s="3" t="s">
        <v>145</v>
      </c>
      <c r="F47" s="3" t="s">
        <v>134</v>
      </c>
      <c r="G47" s="4">
        <v>35</v>
      </c>
      <c r="H47" s="4">
        <v>0</v>
      </c>
      <c r="I47" s="4">
        <v>35</v>
      </c>
      <c r="J47" s="5">
        <f t="shared" si="1"/>
        <v>0</v>
      </c>
      <c r="K47" s="11" t="s">
        <v>80</v>
      </c>
      <c r="L47" s="2" t="s">
        <v>19</v>
      </c>
      <c r="M47" s="12" t="s">
        <v>89</v>
      </c>
    </row>
    <row r="48" spans="1:13" x14ac:dyDescent="0.35">
      <c r="A48" s="2">
        <v>47</v>
      </c>
      <c r="B48" s="3" t="s">
        <v>146</v>
      </c>
      <c r="C48" s="3" t="s">
        <v>147</v>
      </c>
      <c r="D48" s="3" t="s">
        <v>148</v>
      </c>
      <c r="E48" s="3" t="s">
        <v>149</v>
      </c>
      <c r="F48" s="3" t="s">
        <v>150</v>
      </c>
      <c r="G48" s="4">
        <v>40</v>
      </c>
      <c r="H48" s="4">
        <v>0</v>
      </c>
      <c r="I48" s="4">
        <v>40</v>
      </c>
      <c r="J48" s="5">
        <f t="shared" si="1"/>
        <v>0</v>
      </c>
      <c r="K48" s="11" t="s">
        <v>80</v>
      </c>
      <c r="L48" s="2" t="s">
        <v>19</v>
      </c>
      <c r="M48" s="12" t="s">
        <v>89</v>
      </c>
    </row>
    <row r="49" spans="1:13" x14ac:dyDescent="0.35">
      <c r="A49" s="2">
        <v>48</v>
      </c>
      <c r="B49" s="3" t="s">
        <v>146</v>
      </c>
      <c r="C49" s="3" t="s">
        <v>147</v>
      </c>
      <c r="D49" s="3" t="s">
        <v>151</v>
      </c>
      <c r="E49" s="3" t="s">
        <v>152</v>
      </c>
      <c r="F49" s="3" t="s">
        <v>150</v>
      </c>
      <c r="G49" s="4">
        <v>30</v>
      </c>
      <c r="H49" s="4">
        <v>0</v>
      </c>
      <c r="I49" s="4">
        <v>30</v>
      </c>
      <c r="J49" s="5">
        <f t="shared" si="1"/>
        <v>0</v>
      </c>
      <c r="K49" s="11" t="s">
        <v>80</v>
      </c>
      <c r="L49" s="2" t="s">
        <v>19</v>
      </c>
      <c r="M49" s="9" t="s">
        <v>26</v>
      </c>
    </row>
    <row r="50" spans="1:13" x14ac:dyDescent="0.35">
      <c r="A50" s="2">
        <v>49</v>
      </c>
      <c r="B50" s="3" t="s">
        <v>146</v>
      </c>
      <c r="C50" s="3" t="s">
        <v>153</v>
      </c>
      <c r="D50" s="3" t="s">
        <v>154</v>
      </c>
      <c r="E50" s="3" t="s">
        <v>155</v>
      </c>
      <c r="F50" s="3" t="s">
        <v>156</v>
      </c>
      <c r="G50" s="4">
        <v>45</v>
      </c>
      <c r="H50" s="4">
        <v>0</v>
      </c>
      <c r="I50" s="4">
        <v>45</v>
      </c>
      <c r="J50" s="5">
        <f t="shared" si="1"/>
        <v>0</v>
      </c>
      <c r="K50" s="8" t="s">
        <v>23</v>
      </c>
      <c r="L50" s="2" t="s">
        <v>19</v>
      </c>
      <c r="M50" s="9" t="s">
        <v>26</v>
      </c>
    </row>
    <row r="51" spans="1:13" x14ac:dyDescent="0.35">
      <c r="A51" s="2">
        <v>50</v>
      </c>
      <c r="B51" s="3" t="s">
        <v>146</v>
      </c>
      <c r="C51" s="3" t="s">
        <v>157</v>
      </c>
      <c r="D51" s="3" t="s">
        <v>158</v>
      </c>
      <c r="E51" s="3" t="s">
        <v>159</v>
      </c>
      <c r="F51" s="3" t="s">
        <v>14</v>
      </c>
      <c r="G51" s="4">
        <v>30</v>
      </c>
      <c r="H51" s="4">
        <v>0</v>
      </c>
      <c r="I51" s="4">
        <v>30</v>
      </c>
      <c r="J51" s="5">
        <f t="shared" si="1"/>
        <v>0</v>
      </c>
      <c r="K51" s="8" t="s">
        <v>23</v>
      </c>
      <c r="L51" s="2" t="s">
        <v>19</v>
      </c>
      <c r="M51" s="7" t="s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zoomScaleNormal="100" workbookViewId="0"/>
  </sheetViews>
  <sheetFormatPr baseColWidth="10" defaultColWidth="8.6328125" defaultRowHeight="14.5" x14ac:dyDescent="0.35"/>
  <cols>
    <col min="1" max="5" width="18" customWidth="1"/>
  </cols>
  <sheetData>
    <row r="1" spans="1:5" x14ac:dyDescent="0.35">
      <c r="A1" s="13" t="s">
        <v>160</v>
      </c>
      <c r="B1" s="13" t="s">
        <v>7</v>
      </c>
      <c r="C1" s="13" t="s">
        <v>8</v>
      </c>
      <c r="D1" s="13" t="s">
        <v>9</v>
      </c>
      <c r="E1" s="13" t="s">
        <v>161</v>
      </c>
    </row>
    <row r="2" spans="1:5" ht="15.5" x14ac:dyDescent="0.35">
      <c r="A2" s="14">
        <f>SUM(Liste_des_taches!G2:G51)</f>
        <v>2005</v>
      </c>
      <c r="B2" s="14">
        <f>SUM(Liste_des_taches!H2:H51)</f>
        <v>0</v>
      </c>
      <c r="C2" s="14">
        <f>SUM(Liste_des_taches!I2:I51)</f>
        <v>2005</v>
      </c>
      <c r="D2" s="15">
        <f>IF(A2&gt;0,B2/A2,0)</f>
        <v>0</v>
      </c>
      <c r="E2" s="16">
        <f>A2/60</f>
        <v>33.416666666666664</v>
      </c>
    </row>
    <row r="4" spans="1:5" x14ac:dyDescent="0.35">
      <c r="A4" s="17" t="s">
        <v>162</v>
      </c>
      <c r="B4" s="18">
        <f>IF(B2&gt;A2,(B2-A2)/A2,0)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zoomScaleNormal="100" workbookViewId="0"/>
  </sheetViews>
  <sheetFormatPr baseColWidth="10" defaultColWidth="8.6328125" defaultRowHeight="14.5" x14ac:dyDescent="0.35"/>
  <cols>
    <col min="1" max="1" width="8" customWidth="1"/>
    <col min="2" max="4" width="12" customWidth="1"/>
  </cols>
  <sheetData>
    <row r="1" spans="1:4" x14ac:dyDescent="0.35">
      <c r="A1" s="13" t="s">
        <v>0</v>
      </c>
      <c r="B1" s="13" t="s">
        <v>163</v>
      </c>
      <c r="C1" s="13" t="s">
        <v>164</v>
      </c>
      <c r="D1" s="13" t="s">
        <v>165</v>
      </c>
    </row>
    <row r="2" spans="1:4" x14ac:dyDescent="0.35">
      <c r="A2" s="2">
        <v>1</v>
      </c>
      <c r="B2" s="2">
        <v>0</v>
      </c>
      <c r="C2" s="2">
        <v>0</v>
      </c>
      <c r="D2" s="2">
        <v>0</v>
      </c>
    </row>
    <row r="3" spans="1:4" x14ac:dyDescent="0.35">
      <c r="A3" s="2">
        <v>2</v>
      </c>
      <c r="B3" s="2">
        <v>0</v>
      </c>
      <c r="C3" s="2">
        <v>0</v>
      </c>
      <c r="D3" s="2">
        <v>0</v>
      </c>
    </row>
    <row r="4" spans="1:4" x14ac:dyDescent="0.35">
      <c r="A4" s="2">
        <v>3</v>
      </c>
      <c r="B4" s="2">
        <v>0</v>
      </c>
      <c r="C4" s="2">
        <v>0</v>
      </c>
      <c r="D4" s="2">
        <v>0</v>
      </c>
    </row>
    <row r="5" spans="1:4" x14ac:dyDescent="0.35">
      <c r="A5" s="2">
        <v>4</v>
      </c>
      <c r="B5" s="2">
        <v>0</v>
      </c>
      <c r="C5" s="2">
        <v>0</v>
      </c>
      <c r="D5" s="2">
        <v>0</v>
      </c>
    </row>
    <row r="6" spans="1:4" x14ac:dyDescent="0.35">
      <c r="A6" s="2">
        <v>5</v>
      </c>
      <c r="B6" s="2">
        <v>0</v>
      </c>
      <c r="C6" s="2">
        <v>0</v>
      </c>
      <c r="D6" s="2">
        <v>0</v>
      </c>
    </row>
    <row r="7" spans="1:4" x14ac:dyDescent="0.35">
      <c r="A7" s="2">
        <v>6</v>
      </c>
      <c r="B7" s="2">
        <v>0</v>
      </c>
      <c r="C7" s="2">
        <v>0</v>
      </c>
      <c r="D7" s="2">
        <v>0</v>
      </c>
    </row>
    <row r="8" spans="1:4" x14ac:dyDescent="0.35">
      <c r="A8" s="2">
        <v>7</v>
      </c>
      <c r="B8" s="2">
        <v>0</v>
      </c>
      <c r="C8" s="2">
        <v>0</v>
      </c>
      <c r="D8" s="2">
        <v>0</v>
      </c>
    </row>
    <row r="9" spans="1:4" x14ac:dyDescent="0.35">
      <c r="A9" s="2">
        <v>8</v>
      </c>
      <c r="B9" s="2">
        <v>0</v>
      </c>
      <c r="C9" s="2">
        <v>0</v>
      </c>
      <c r="D9" s="2">
        <v>0</v>
      </c>
    </row>
    <row r="10" spans="1:4" x14ac:dyDescent="0.35">
      <c r="A10" s="2">
        <v>9</v>
      </c>
      <c r="B10" s="2">
        <v>0</v>
      </c>
      <c r="C10" s="2">
        <v>0</v>
      </c>
      <c r="D10" s="2">
        <v>0</v>
      </c>
    </row>
    <row r="11" spans="1:4" x14ac:dyDescent="0.35">
      <c r="A11" s="2">
        <v>10</v>
      </c>
      <c r="B11" s="2">
        <v>0</v>
      </c>
      <c r="C11" s="2">
        <v>0</v>
      </c>
      <c r="D11" s="2">
        <v>0</v>
      </c>
    </row>
    <row r="12" spans="1:4" x14ac:dyDescent="0.35">
      <c r="A12" s="2">
        <v>11</v>
      </c>
      <c r="B12" s="2">
        <v>0</v>
      </c>
      <c r="C12" s="2">
        <v>0</v>
      </c>
      <c r="D12" s="2">
        <v>0</v>
      </c>
    </row>
    <row r="13" spans="1:4" x14ac:dyDescent="0.35">
      <c r="A13" s="2">
        <v>12</v>
      </c>
      <c r="B13" s="2">
        <v>0</v>
      </c>
      <c r="C13" s="2">
        <v>0</v>
      </c>
      <c r="D13" s="2">
        <v>0</v>
      </c>
    </row>
    <row r="14" spans="1:4" x14ac:dyDescent="0.35">
      <c r="A14" s="2">
        <v>13</v>
      </c>
      <c r="B14" s="2">
        <v>0</v>
      </c>
      <c r="C14" s="2">
        <v>0</v>
      </c>
      <c r="D14" s="2">
        <v>0</v>
      </c>
    </row>
    <row r="15" spans="1:4" x14ac:dyDescent="0.35">
      <c r="A15" s="2">
        <v>14</v>
      </c>
      <c r="B15" s="2">
        <v>0</v>
      </c>
      <c r="C15" s="2">
        <v>0</v>
      </c>
      <c r="D15" s="2">
        <v>0</v>
      </c>
    </row>
    <row r="16" spans="1:4" x14ac:dyDescent="0.35">
      <c r="A16" s="2">
        <v>15</v>
      </c>
      <c r="B16" s="2">
        <v>0</v>
      </c>
      <c r="C16" s="2">
        <v>0</v>
      </c>
      <c r="D16" s="2">
        <v>0</v>
      </c>
    </row>
    <row r="17" spans="1:4" x14ac:dyDescent="0.35">
      <c r="A17" s="2">
        <v>16</v>
      </c>
      <c r="B17" s="2">
        <v>0</v>
      </c>
      <c r="C17" s="2">
        <v>0</v>
      </c>
      <c r="D17" s="2">
        <v>0</v>
      </c>
    </row>
    <row r="18" spans="1:4" x14ac:dyDescent="0.35">
      <c r="A18" s="2">
        <v>17</v>
      </c>
      <c r="B18" s="2">
        <v>0</v>
      </c>
      <c r="C18" s="2">
        <v>0</v>
      </c>
      <c r="D18" s="2">
        <v>0</v>
      </c>
    </row>
    <row r="19" spans="1:4" x14ac:dyDescent="0.35">
      <c r="A19" s="2">
        <v>18</v>
      </c>
      <c r="B19" s="2">
        <v>0</v>
      </c>
      <c r="C19" s="2">
        <v>0</v>
      </c>
      <c r="D19" s="2">
        <v>0</v>
      </c>
    </row>
    <row r="20" spans="1:4" x14ac:dyDescent="0.35">
      <c r="A20" s="2">
        <v>19</v>
      </c>
      <c r="B20" s="2">
        <v>0</v>
      </c>
      <c r="C20" s="2">
        <v>0</v>
      </c>
      <c r="D20" s="2">
        <v>0</v>
      </c>
    </row>
    <row r="21" spans="1:4" x14ac:dyDescent="0.35">
      <c r="A21" s="2">
        <v>20</v>
      </c>
      <c r="B21" s="2">
        <v>0</v>
      </c>
      <c r="C21" s="2">
        <v>0</v>
      </c>
      <c r="D21" s="2">
        <v>0</v>
      </c>
    </row>
    <row r="22" spans="1:4" x14ac:dyDescent="0.35">
      <c r="A22" s="2">
        <v>21</v>
      </c>
      <c r="B22" s="2">
        <v>0</v>
      </c>
      <c r="C22" s="2">
        <v>0</v>
      </c>
      <c r="D22" s="2">
        <v>0</v>
      </c>
    </row>
    <row r="23" spans="1:4" x14ac:dyDescent="0.35">
      <c r="A23" s="2">
        <v>22</v>
      </c>
      <c r="B23" s="2">
        <v>0</v>
      </c>
      <c r="C23" s="2">
        <v>0</v>
      </c>
      <c r="D23" s="2">
        <v>0</v>
      </c>
    </row>
    <row r="24" spans="1:4" x14ac:dyDescent="0.35">
      <c r="A24" s="2">
        <v>23</v>
      </c>
      <c r="B24" s="2">
        <v>0</v>
      </c>
      <c r="C24" s="2">
        <v>0</v>
      </c>
      <c r="D24" s="2">
        <v>0</v>
      </c>
    </row>
    <row r="25" spans="1:4" x14ac:dyDescent="0.35">
      <c r="A25" s="2">
        <v>24</v>
      </c>
      <c r="B25" s="2">
        <v>0</v>
      </c>
      <c r="C25" s="2">
        <v>0</v>
      </c>
      <c r="D25" s="2">
        <v>0</v>
      </c>
    </row>
    <row r="26" spans="1:4" x14ac:dyDescent="0.35">
      <c r="A26" s="2">
        <v>25</v>
      </c>
      <c r="B26" s="2">
        <v>0</v>
      </c>
      <c r="C26" s="2">
        <v>0</v>
      </c>
      <c r="D26" s="2">
        <v>0</v>
      </c>
    </row>
    <row r="27" spans="1:4" x14ac:dyDescent="0.35">
      <c r="A27" s="2">
        <v>26</v>
      </c>
      <c r="B27" s="2">
        <v>0</v>
      </c>
      <c r="C27" s="2">
        <v>0</v>
      </c>
      <c r="D27" s="2">
        <v>0</v>
      </c>
    </row>
    <row r="28" spans="1:4" x14ac:dyDescent="0.35">
      <c r="A28" s="2">
        <v>27</v>
      </c>
      <c r="B28" s="2">
        <v>0</v>
      </c>
      <c r="C28" s="2">
        <v>0</v>
      </c>
      <c r="D28" s="2">
        <v>0</v>
      </c>
    </row>
    <row r="29" spans="1:4" x14ac:dyDescent="0.35">
      <c r="A29" s="2">
        <v>28</v>
      </c>
      <c r="B29" s="2">
        <v>0</v>
      </c>
      <c r="C29" s="2">
        <v>0</v>
      </c>
      <c r="D29" s="2">
        <v>0</v>
      </c>
    </row>
    <row r="30" spans="1:4" x14ac:dyDescent="0.35">
      <c r="A30" s="2">
        <v>29</v>
      </c>
      <c r="B30" s="2">
        <v>0</v>
      </c>
      <c r="C30" s="2">
        <v>0</v>
      </c>
      <c r="D30" s="2">
        <v>0</v>
      </c>
    </row>
    <row r="31" spans="1:4" x14ac:dyDescent="0.35">
      <c r="A31" s="2">
        <v>30</v>
      </c>
      <c r="B31" s="2">
        <v>0</v>
      </c>
      <c r="C31" s="2">
        <v>0</v>
      </c>
      <c r="D31" s="2">
        <v>0</v>
      </c>
    </row>
    <row r="32" spans="1:4" x14ac:dyDescent="0.35">
      <c r="A32" s="2">
        <v>31</v>
      </c>
      <c r="B32" s="2">
        <v>0</v>
      </c>
      <c r="C32" s="2">
        <v>0</v>
      </c>
      <c r="D32" s="2">
        <v>0</v>
      </c>
    </row>
    <row r="33" spans="1:4" x14ac:dyDescent="0.35">
      <c r="A33" s="2">
        <v>32</v>
      </c>
      <c r="B33" s="2">
        <v>0</v>
      </c>
      <c r="C33" s="2">
        <v>0</v>
      </c>
      <c r="D33" s="2">
        <v>0</v>
      </c>
    </row>
    <row r="34" spans="1:4" x14ac:dyDescent="0.35">
      <c r="A34" s="2">
        <v>33</v>
      </c>
      <c r="B34" s="2">
        <v>0</v>
      </c>
      <c r="C34" s="2">
        <v>0</v>
      </c>
      <c r="D34" s="2">
        <v>0</v>
      </c>
    </row>
    <row r="35" spans="1:4" x14ac:dyDescent="0.35">
      <c r="A35" s="2">
        <v>34</v>
      </c>
      <c r="B35" s="2">
        <v>0</v>
      </c>
      <c r="C35" s="2">
        <v>0</v>
      </c>
      <c r="D35" s="2">
        <v>0</v>
      </c>
    </row>
    <row r="36" spans="1:4" x14ac:dyDescent="0.35">
      <c r="A36" s="2">
        <v>35</v>
      </c>
      <c r="B36" s="2">
        <v>0</v>
      </c>
      <c r="C36" s="2">
        <v>0</v>
      </c>
      <c r="D36" s="2">
        <v>0</v>
      </c>
    </row>
    <row r="37" spans="1:4" x14ac:dyDescent="0.35">
      <c r="A37" s="2">
        <v>36</v>
      </c>
      <c r="B37" s="2">
        <v>0</v>
      </c>
      <c r="C37" s="2">
        <v>0</v>
      </c>
      <c r="D37" s="2">
        <v>0</v>
      </c>
    </row>
    <row r="38" spans="1:4" x14ac:dyDescent="0.35">
      <c r="A38" s="2">
        <v>37</v>
      </c>
      <c r="B38" s="2">
        <v>0</v>
      </c>
      <c r="C38" s="2">
        <v>0</v>
      </c>
      <c r="D38" s="2">
        <v>0</v>
      </c>
    </row>
    <row r="39" spans="1:4" x14ac:dyDescent="0.35">
      <c r="A39" s="2">
        <v>38</v>
      </c>
      <c r="B39" s="2">
        <v>0</v>
      </c>
      <c r="C39" s="2">
        <v>0</v>
      </c>
      <c r="D39" s="2">
        <v>0</v>
      </c>
    </row>
    <row r="40" spans="1:4" x14ac:dyDescent="0.35">
      <c r="A40" s="2">
        <v>39</v>
      </c>
      <c r="B40" s="2">
        <v>0</v>
      </c>
      <c r="C40" s="2">
        <v>0</v>
      </c>
      <c r="D40" s="2">
        <v>0</v>
      </c>
    </row>
    <row r="41" spans="1:4" x14ac:dyDescent="0.35">
      <c r="A41" s="2">
        <v>40</v>
      </c>
      <c r="B41" s="2">
        <v>0</v>
      </c>
      <c r="C41" s="2">
        <v>0</v>
      </c>
      <c r="D41" s="2">
        <v>0</v>
      </c>
    </row>
    <row r="42" spans="1:4" x14ac:dyDescent="0.35">
      <c r="A42" s="2">
        <v>41</v>
      </c>
      <c r="B42" s="2">
        <v>0</v>
      </c>
      <c r="C42" s="2">
        <v>0</v>
      </c>
      <c r="D42" s="2">
        <v>0</v>
      </c>
    </row>
    <row r="43" spans="1:4" x14ac:dyDescent="0.35">
      <c r="A43" s="2">
        <v>42</v>
      </c>
      <c r="B43" s="2">
        <v>0</v>
      </c>
      <c r="C43" s="2">
        <v>0</v>
      </c>
      <c r="D43" s="2">
        <v>0</v>
      </c>
    </row>
    <row r="44" spans="1:4" x14ac:dyDescent="0.35">
      <c r="A44" s="2">
        <v>43</v>
      </c>
      <c r="B44" s="2">
        <v>0</v>
      </c>
      <c r="C44" s="2">
        <v>0</v>
      </c>
      <c r="D44" s="2">
        <v>0</v>
      </c>
    </row>
    <row r="45" spans="1:4" x14ac:dyDescent="0.35">
      <c r="A45" s="2">
        <v>44</v>
      </c>
      <c r="B45" s="2">
        <v>0</v>
      </c>
      <c r="C45" s="2">
        <v>0</v>
      </c>
      <c r="D45" s="2">
        <v>0</v>
      </c>
    </row>
    <row r="46" spans="1:4" x14ac:dyDescent="0.35">
      <c r="A46" s="2">
        <v>45</v>
      </c>
      <c r="B46" s="2">
        <v>0</v>
      </c>
      <c r="C46" s="2">
        <v>0</v>
      </c>
      <c r="D46" s="2">
        <v>0</v>
      </c>
    </row>
    <row r="47" spans="1:4" x14ac:dyDescent="0.35">
      <c r="A47" s="2">
        <v>46</v>
      </c>
      <c r="B47" s="2">
        <v>0</v>
      </c>
      <c r="C47" s="2">
        <v>0</v>
      </c>
      <c r="D47" s="2">
        <v>0</v>
      </c>
    </row>
    <row r="48" spans="1:4" x14ac:dyDescent="0.35">
      <c r="A48" s="2">
        <v>47</v>
      </c>
      <c r="B48" s="2">
        <v>0</v>
      </c>
      <c r="C48" s="2">
        <v>0</v>
      </c>
      <c r="D48" s="2">
        <v>0</v>
      </c>
    </row>
    <row r="49" spans="1:4" x14ac:dyDescent="0.35">
      <c r="A49" s="2">
        <v>48</v>
      </c>
      <c r="B49" s="2">
        <v>0</v>
      </c>
      <c r="C49" s="2">
        <v>0</v>
      </c>
      <c r="D49" s="2">
        <v>0</v>
      </c>
    </row>
    <row r="50" spans="1:4" x14ac:dyDescent="0.35">
      <c r="A50" s="2">
        <v>49</v>
      </c>
      <c r="B50" s="2">
        <v>0</v>
      </c>
      <c r="C50" s="2">
        <v>0</v>
      </c>
      <c r="D50" s="2">
        <v>0</v>
      </c>
    </row>
    <row r="51" spans="1:4" x14ac:dyDescent="0.35">
      <c r="A51" s="2">
        <v>50</v>
      </c>
      <c r="B51" s="2">
        <v>0</v>
      </c>
      <c r="C51" s="2">
        <v>0</v>
      </c>
      <c r="D51" s="2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zoomScaleNormal="100" workbookViewId="0"/>
  </sheetViews>
  <sheetFormatPr baseColWidth="10" defaultColWidth="8.6328125" defaultRowHeight="14.5" x14ac:dyDescent="0.35"/>
  <cols>
    <col min="1" max="1" width="20" customWidth="1"/>
    <col min="2" max="2" width="18" customWidth="1"/>
    <col min="3" max="3" width="12" customWidth="1"/>
  </cols>
  <sheetData>
    <row r="1" spans="1:3" x14ac:dyDescent="0.35">
      <c r="A1" s="13" t="s">
        <v>9</v>
      </c>
      <c r="B1" s="13" t="s">
        <v>166</v>
      </c>
    </row>
    <row r="2" spans="1:3" x14ac:dyDescent="0.35">
      <c r="A2" s="2" t="s">
        <v>167</v>
      </c>
      <c r="B2" s="18">
        <f>Avancement_projet!D2</f>
        <v>0</v>
      </c>
      <c r="C2" s="2"/>
    </row>
    <row r="3" spans="1:3" x14ac:dyDescent="0.35">
      <c r="A3" s="2"/>
      <c r="B3" s="2"/>
      <c r="C3" s="2"/>
    </row>
    <row r="4" spans="1:3" x14ac:dyDescent="0.35">
      <c r="A4" s="19" t="s">
        <v>10</v>
      </c>
      <c r="B4" s="19" t="s">
        <v>6</v>
      </c>
      <c r="C4" s="19" t="s">
        <v>168</v>
      </c>
    </row>
    <row r="5" spans="1:3" x14ac:dyDescent="0.35">
      <c r="A5" s="6" t="s">
        <v>18</v>
      </c>
      <c r="B5" s="20">
        <f>SUMIF(Liste_des_taches!K:K,"Kenny",Liste_des_taches!G:G)</f>
        <v>725</v>
      </c>
      <c r="C5" s="21">
        <f>B5/60</f>
        <v>12.083333333333334</v>
      </c>
    </row>
    <row r="6" spans="1:3" x14ac:dyDescent="0.35">
      <c r="A6" s="11" t="s">
        <v>80</v>
      </c>
      <c r="B6" s="20">
        <f>SUMIF(Liste_des_taches!K:K,"Maeva",Liste_des_taches!G:G)</f>
        <v>580</v>
      </c>
      <c r="C6" s="21">
        <f>B6/60</f>
        <v>9.6666666666666661</v>
      </c>
    </row>
    <row r="7" spans="1:3" x14ac:dyDescent="0.35">
      <c r="A7" s="10" t="s">
        <v>46</v>
      </c>
      <c r="B7" s="20">
        <f>SUMIF(Liste_des_taches!K:K,"Ny aina",Liste_des_taches!G:G)</f>
        <v>530</v>
      </c>
      <c r="C7" s="21">
        <f>B7/60</f>
        <v>8.8333333333333339</v>
      </c>
    </row>
    <row r="8" spans="1:3" x14ac:dyDescent="0.35">
      <c r="A8" s="2" t="s">
        <v>169</v>
      </c>
      <c r="B8" s="20">
        <f>SUMIF(Liste_des_taches!K:K,"Tous",Liste_des_taches!G:G)</f>
        <v>170</v>
      </c>
      <c r="C8" s="21">
        <f>B8/60</f>
        <v>2.8333333333333335</v>
      </c>
    </row>
    <row r="9" spans="1:3" x14ac:dyDescent="0.35">
      <c r="A9" s="19" t="s">
        <v>170</v>
      </c>
      <c r="B9" s="22">
        <f>B5+B6+B7+B8</f>
        <v>2005</v>
      </c>
      <c r="C9" s="23">
        <f>B9/60</f>
        <v>33.416666666666664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Liste_des_taches</vt:lpstr>
      <vt:lpstr>Avancement_projet</vt:lpstr>
      <vt:lpstr>Detail</vt:lpstr>
      <vt:lpstr>Recap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WINDOWS 11</cp:lastModifiedBy>
  <cp:revision>0</cp:revision>
  <dcterms:created xsi:type="dcterms:W3CDTF">2026-02-16T10:52:19Z</dcterms:created>
  <dcterms:modified xsi:type="dcterms:W3CDTF">2026-02-16T10:54:51Z</dcterms:modified>
  <dc:language>en-US</dc:language>
</cp:coreProperties>
</file>